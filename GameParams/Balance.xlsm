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 activeTab="1"/>
  </bookViews>
  <sheets>
    <sheet name="weaponParam" sheetId="11" r:id="rId1"/>
    <sheet name="itemParam" sheetId="23" r:id="rId2"/>
    <sheet name="statParam" sheetId="13" r:id="rId3"/>
    <sheet name="characterParam" sheetId="18" r:id="rId4"/>
    <sheet name="_armor" sheetId="12" r:id="rId5"/>
    <sheet name="_weapons" sheetId="9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C10" i="13"/>
  <c r="B10"/>
  <c r="E4" i="9"/>
  <c r="F4"/>
  <c r="E3"/>
  <c r="F3"/>
  <c r="F2"/>
  <c r="E2"/>
  <c r="D9" i="22"/>
  <c r="D3"/>
  <c r="D4"/>
  <c r="D5"/>
  <c r="D6"/>
  <c r="D7"/>
  <c r="D8"/>
  <c r="D10"/>
  <c r="D11"/>
  <c r="D12"/>
  <c r="D2"/>
  <c r="S67" i="9"/>
  <c r="E67" s="1"/>
  <c r="M67"/>
  <c r="H67"/>
  <c r="D13" i="22" l="1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H138" l="1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M139" l="1"/>
  <c r="M91"/>
  <c r="M140"/>
  <c r="M133"/>
  <c r="M85"/>
  <c r="Q135"/>
  <c r="M175"/>
  <c r="M151"/>
  <c r="M169"/>
  <c r="Q182"/>
  <c r="Q158"/>
  <c r="X101"/>
  <c r="Q136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F235"/>
  <c r="E112"/>
  <c r="S125"/>
  <c r="S158"/>
  <c r="E100"/>
  <c r="S113"/>
  <c r="E134"/>
  <c r="E92"/>
  <c r="S153"/>
  <c r="F153"/>
  <c r="F219"/>
  <c r="F92"/>
  <c r="E57" i="12"/>
  <c r="E152" i="9"/>
  <c r="E135" i="12"/>
  <c r="D160"/>
  <c r="H85"/>
  <c r="S101" i="9"/>
  <c r="S114"/>
  <c r="E157"/>
  <c r="F141"/>
  <c r="S182"/>
  <c r="E124"/>
  <c r="F98"/>
  <c r="F124"/>
  <c r="E234"/>
  <c r="S144"/>
  <c r="F144"/>
  <c r="H119" i="12"/>
  <c r="H54"/>
  <c r="H101"/>
  <c r="G74"/>
  <c r="E51"/>
  <c r="S171" i="9"/>
  <c r="F123"/>
  <c r="F114"/>
  <c r="S87"/>
  <c r="E123"/>
  <c r="F111"/>
  <c r="F86"/>
  <c r="E125"/>
  <c r="F170"/>
  <c r="F99"/>
  <c r="G28" i="12"/>
  <c r="H60"/>
  <c r="E228"/>
  <c r="G83"/>
  <c r="D72"/>
  <c r="G49"/>
  <c r="S102" i="9"/>
  <c r="E142"/>
  <c r="E182"/>
  <c r="S135"/>
  <c r="E141"/>
  <c r="E135"/>
  <c r="E158"/>
  <c r="F112"/>
  <c r="F110"/>
  <c r="F122"/>
  <c r="S143"/>
  <c r="S177"/>
  <c r="S93"/>
  <c r="S126"/>
  <c r="E9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<sst xmlns="http://schemas.openxmlformats.org/spreadsheetml/2006/main" count="6238" uniqueCount="907">
  <si>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</si>
  <si>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</si>
  <si>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</si>
  <si>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</si>
  <si>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</si>
  <si>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</si>
  <si>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</si>
  <si>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</si>
  <si>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</si>
  <si>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</si>
  <si>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</si>
  <si>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</si>
  <si>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</si>
  <si>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</si>
  <si>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</si>
  <si>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</si>
  <si>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</si>
  <si>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</si>
  <si>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</si>
  <si>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</si>
  <si>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</si>
  <si>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</si>
  <si>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</si>
  <si>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</si>
  <si>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</si>
  <si>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</si>
  <si>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</si>
  <si>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</si>
  <si>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</si>
  <si>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</si>
  <si>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</si>
  <si>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</si>
  <si>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</si>
  <si>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</si>
  <si>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</si>
  <si>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</si>
  <si>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</si>
  <si>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</si>
  <si>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</si>
  <si>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</si>
  <si>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</si>
  <si>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</si>
  <si>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</si>
  <si>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</si>
  <si>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</si>
  <si>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</si>
  <si>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</si>
  <si>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</si>
  <si>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</si>
  <si>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</si>
  <si>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</si>
  <si>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</si>
  <si>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</si>
  <si>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</si>
  <si>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</si>
  <si>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</si>
  <si>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</si>
  <si>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</si>
  <si>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</si>
  <si>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</si>
  <si>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</si>
  <si>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</si>
  <si>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</si>
  <si>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</si>
  <si>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</si>
  <si>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</si>
  <si>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</si>
  <si>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</si>
  <si>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</si>
  <si>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</si>
  <si>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</si>
  <si>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</si>
  <si>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</si>
  <si>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</si>
  <si>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</si>
  <si>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</si>
  <si>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</si>
  <si>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</si>
  <si>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</si>
  <si>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</si>
  <si>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</si>
  <si>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</si>
  <si>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</si>
  <si>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</si>
  <si>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</si>
  <si>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</si>
  <si>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</si>
  <si>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</si>
  <si>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</si>
  <si>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</si>
  <si>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</si>
  <si>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</si>
  <si>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</si>
  <si>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</si>
  <si>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</si>
  <si>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</si>
  <si>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</si>
  <si>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</si>
  <si>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</si>
  <si>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</si>
  <si>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</si>
  <si>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</si>
  <si>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</si>
  <si>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</si>
  <si>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</si>
  <si>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</si>
  <si>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</si>
  <si>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</si>
  <si>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</si>
  <si>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</si>
  <si>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</si>
  <si>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</si>
  <si>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</si>
  <si>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</si>
  <si>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</si>
  <si>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</si>
  <si>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</si>
  <si>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</si>
  <si>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</si>
  <si>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</si>
  <si>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</si>
  <si>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</si>
  <si>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</si>
  <si>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</si>
  <si>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</si>
  <si>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</si>
  <si>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</si>
  <si>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</si>
  <si>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</si>
  <si>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</si>
  <si>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</si>
  <si>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</si>
  <si>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</si>
  <si>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</si>
  <si>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</si>
  <si>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</si>
  <si>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</si>
  <si>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</si>
  <si>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</si>
  <si>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</si>
  <si>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</si>
  <si>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</si>
  <si>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</si>
  <si>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</si>
  <si>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</si>
  <si>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</si>
  <si>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</si>
  <si>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</si>
  <si>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</si>
  <si>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</si>
  <si>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</si>
  <si>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</si>
  <si>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</si>
  <si>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</si>
  <si>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cost</t>
  </si>
  <si>
    <t>RARE</t>
  </si>
  <si>
    <t>EPIC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</si>
  <si>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</si>
  <si>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</si>
  <si>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</si>
  <si>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</si>
  <si>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</si>
  <si>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</si>
  <si>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</si>
  <si>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</si>
  <si>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</si>
  <si>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</si>
  <si>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</si>
  <si>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</si>
  <si>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</si>
  <si>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</si>
  <si>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</si>
  <si>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</si>
  <si>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</si>
  <si>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</si>
  <si>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</si>
  <si>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</si>
  <si>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</si>
  <si>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</si>
  <si>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</si>
  <si>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</si>
  <si>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</si>
  <si>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</si>
  <si>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</si>
  <si>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</si>
  <si>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</si>
  <si>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</si>
  <si>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</si>
  <si>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</si>
  <si>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</si>
  <si>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</si>
  <si>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</si>
  <si>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</si>
  <si>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</si>
  <si>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</si>
  <si>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</si>
  <si>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</si>
  <si>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</si>
  <si>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</si>
  <si>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</si>
  <si>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</si>
  <si>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</si>
  <si>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</si>
  <si>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</si>
  <si>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</si>
  <si>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</si>
  <si>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</si>
  <si>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</si>
  <si>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</si>
  <si>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</si>
  <si>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</si>
  <si>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</si>
  <si>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</si>
  <si>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</si>
  <si>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</si>
  <si>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</si>
  <si>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</si>
  <si>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</si>
  <si>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</si>
  <si>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</si>
  <si>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</si>
  <si>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</si>
  <si>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</si>
  <si>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</si>
  <si>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</si>
  <si>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</si>
  <si>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</si>
  <si>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</si>
  <si>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</si>
  <si>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</si>
  <si>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</si>
  <si>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</si>
  <si>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</si>
  <si>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</si>
  <si>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</si>
  <si>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</si>
  <si>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</si>
  <si>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</si>
  <si>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</si>
  <si>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</si>
  <si>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</si>
  <si>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</si>
  <si>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</si>
  <si>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</si>
  <si>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</si>
  <si>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</si>
  <si>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</si>
  <si>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</si>
  <si>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</si>
  <si>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</si>
  <si>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</si>
  <si>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</si>
  <si>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</si>
  <si>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</si>
  <si>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</si>
  <si>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</si>
  <si>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</si>
  <si>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</si>
  <si>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</si>
  <si>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</si>
  <si>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</si>
  <si>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</si>
  <si>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</si>
  <si>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</si>
  <si>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</si>
  <si>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</si>
  <si>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</si>
  <si>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</si>
  <si>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</si>
  <si>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</si>
  <si>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</si>
  <si>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</si>
  <si>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</si>
  <si>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</si>
  <si>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</si>
  <si>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</si>
  <si>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</si>
  <si>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</si>
  <si>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</si>
  <si>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</si>
  <si>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</si>
  <si>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</si>
  <si>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</si>
  <si>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</si>
  <si>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</si>
  <si>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</si>
  <si>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</si>
  <si>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</si>
  <si>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</si>
  <si>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</si>
  <si>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</si>
  <si>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</si>
  <si>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</si>
  <si>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</si>
  <si>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</si>
  <si>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</si>
  <si>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</si>
  <si>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</si>
  <si>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</si>
  <si>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</si>
  <si>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</si>
  <si>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</si>
  <si>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</si>
  <si>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</si>
  <si>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</si>
  <si>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</si>
  <si>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</si>
  <si>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</si>
  <si>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</si>
  <si>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</si>
  <si>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</si>
  <si>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</si>
  <si>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</si>
  <si>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</si>
  <si>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</si>
  <si>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</si>
  <si>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</si>
  <si>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</si>
  <si>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</si>
  <si>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</si>
  <si>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</si>
  <si>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</si>
  <si>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</si>
  <si>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</si>
  <si>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</si>
  <si>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</si>
  <si>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</si>
  <si>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</si>
  <si>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</si>
  <si>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</si>
  <si>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</si>
  <si>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</si>
  <si>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</si>
  <si>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</si>
  <si>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</si>
  <si>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</si>
  <si>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</si>
  <si>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</si>
  <si>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</si>
  <si>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</si>
  <si>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</si>
  <si>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</si>
  <si>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</si>
  <si>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</si>
  <si>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</si>
  <si>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</si>
  <si>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</si>
  <si>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</si>
  <si>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</si>
  <si>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</si>
  <si>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</si>
  <si>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</si>
  <si>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</si>
  <si>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</si>
  <si>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</si>
  <si>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</si>
  <si>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</si>
  <si>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</si>
  <si>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</si>
  <si>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</si>
  <si>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</si>
  <si>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</si>
  <si>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</si>
  <si>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</si>
  <si>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</si>
  <si>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</si>
  <si>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</si>
  <si>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</si>
  <si>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</si>
  <si>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</si>
  <si>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</si>
  <si>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</si>
  <si>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</si>
  <si>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</si>
  <si>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</si>
  <si>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</si>
  <si>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</si>
  <si>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</si>
  <si>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</si>
  <si>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</si>
  <si>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</si>
  <si>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</si>
  <si>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</si>
  <si>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</si>
  <si>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</si>
  <si>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</si>
  <si>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</si>
  <si>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</si>
  <si>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</si>
  <si>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</si>
  <si>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</si>
  <si>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</si>
  <si>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</si>
  <si>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</si>
  <si>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</si>
  <si>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</si>
  <si>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</si>
  <si>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</si>
  <si>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</si>
  <si>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</si>
  <si>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</si>
  <si>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</si>
  <si>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</si>
  <si>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</si>
  <si>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</si>
  <si>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</si>
  <si>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</si>
  <si>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</si>
  <si>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</si>
  <si>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</si>
  <si>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</si>
  <si>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</si>
  <si>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</si>
  <si>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</si>
  <si>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</si>
  <si>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</si>
  <si>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</si>
  <si>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</si>
  <si>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</si>
  <si>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</si>
  <si>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</si>
  <si>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</si>
  <si>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</si>
  <si>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</si>
  <si>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</si>
  <si>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</si>
  <si>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</si>
  <si>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</si>
  <si>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</si>
  <si>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</si>
  <si>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</si>
  <si>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</si>
  <si>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</si>
  <si>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</si>
  <si>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</si>
  <si>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</si>
  <si>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</si>
  <si>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</si>
  <si>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</si>
  <si>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</si>
  <si>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</si>
  <si>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</si>
  <si>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</si>
  <si>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</si>
  <si>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</si>
  <si>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</si>
  <si>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</si>
  <si>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</si>
  <si>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</si>
  <si>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</si>
  <si>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</si>
  <si>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</si>
  <si>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</si>
  <si>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</si>
  <si>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</si>
  <si>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</si>
  <si>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</si>
  <si>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</si>
  <si>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</si>
  <si>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</si>
  <si>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</si>
  <si>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</si>
  <si>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</si>
  <si>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</si>
  <si>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</si>
  <si>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</si>
  <si>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</si>
  <si>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</si>
  <si>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</si>
  <si>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</si>
  <si>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</si>
  <si>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</si>
  <si>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</si>
  <si>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</si>
  <si>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</si>
  <si>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</si>
  <si>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</si>
  <si>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</si>
  <si>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</si>
  <si>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</si>
  <si>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</si>
  <si>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</si>
  <si>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</si>
  <si>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</si>
  <si>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</si>
  <si>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</si>
  <si>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</si>
  <si>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</si>
  <si>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</si>
  <si>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</si>
  <si>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</si>
  <si>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</si>
  <si>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</si>
  <si>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</si>
  <si>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</si>
  <si>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</si>
  <si>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</si>
  <si>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</si>
  <si>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</si>
  <si>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</si>
  <si>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</si>
  <si>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</si>
  <si>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</si>
  <si>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</si>
  <si>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</si>
  <si>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</si>
  <si>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</si>
  <si>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</si>
  <si>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</si>
  <si>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</si>
  <si>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</si>
  <si>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</si>
  <si>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</si>
  <si>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</si>
  <si>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</si>
  <si>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</si>
  <si>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</si>
  <si>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</si>
  <si>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</si>
  <si>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</si>
  <si>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</si>
  <si>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</si>
  <si>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</si>
  <si>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</si>
  <si>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</si>
  <si>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</si>
  <si>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</si>
  <si>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</si>
  <si>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</si>
  <si>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</si>
  <si>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</si>
  <si>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</si>
  <si>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</si>
  <si>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</si>
  <si>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</si>
  <si>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</si>
  <si>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</si>
  <si>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</si>
  <si>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</si>
  <si>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</si>
  <si>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</si>
  <si>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</si>
  <si>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</si>
  <si>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</si>
  <si>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</si>
  <si>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</si>
  <si>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</si>
  <si>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</si>
  <si>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</si>
  <si>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</si>
  <si>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</si>
  <si>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</si>
  <si>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</si>
  <si>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</si>
  <si>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</si>
  <si>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</si>
  <si>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</si>
  <si>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</si>
  <si>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</si>
  <si>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</si>
  <si>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</si>
  <si>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</si>
  <si>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</si>
  <si>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</si>
  <si>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</si>
  <si>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</si>
  <si>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</si>
  <si>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</si>
  <si>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</si>
  <si>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</si>
  <si>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</si>
  <si>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</si>
  <si>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</si>
  <si>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</si>
  <si>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</si>
  <si>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</si>
  <si>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</si>
  <si>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</si>
  <si>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</si>
  <si>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</si>
  <si>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</si>
  <si>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</si>
  <si>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</si>
  <si>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</si>
  <si>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</si>
  <si>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</si>
  <si>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</si>
  <si>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</si>
  <si>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</si>
  <si>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</si>
  <si>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</si>
  <si>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</si>
  <si>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</si>
  <si>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</si>
  <si>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</si>
  <si>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</si>
  <si>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</si>
  <si>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</si>
  <si>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</si>
  <si>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</si>
  <si>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</si>
  <si>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</si>
  <si>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</si>
  <si>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</si>
  <si>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</si>
  <si>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</si>
  <si>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</si>
  <si>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</si>
  <si>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</si>
  <si>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</si>
  <si>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</si>
  <si>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</si>
  <si>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</si>
  <si>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</si>
  <si>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</si>
  <si>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</si>
  <si>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</si>
  <si>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</si>
  <si>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</si>
  <si>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</si>
  <si>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</si>
  <si>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</si>
  <si>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</si>
  <si>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</si>
  <si>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</si>
  <si>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</si>
  <si>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</si>
  <si>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</si>
  <si>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</si>
  <si>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</si>
  <si>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</si>
  <si>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</si>
  <si>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</si>
  <si>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</si>
  <si>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</si>
  <si>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</si>
  <si>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</si>
  <si>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</si>
  <si>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</si>
  <si>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</si>
  <si>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</si>
  <si>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</si>
  <si>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</si>
  <si>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</si>
  <si>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</si>
  <si>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</si>
  <si>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</si>
  <si>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</si>
  <si>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</si>
  <si>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</si>
  <si>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</si>
  <si>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</si>
  <si>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</si>
  <si>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</si>
  <si>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</si>
  <si>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</si>
  <si>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</si>
  <si>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</si>
  <si>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</si>
  <si>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</si>
  <si>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</si>
  <si>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</si>
  <si>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</si>
  <si>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</si>
  <si>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</si>
  <si>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</si>
  <si>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</si>
  <si>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</si>
  <si>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</si>
  <si>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</si>
  <si>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</si>
  <si>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</si>
  <si>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</si>
  <si>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</si>
  <si>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</si>
  <si>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</si>
  <si>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</si>
  <si>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</si>
  <si>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</si>
  <si>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</si>
  <si>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</si>
  <si>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</si>
  <si>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</si>
  <si>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</si>
  <si>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</si>
  <si>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</si>
  <si>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</si>
  <si>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</si>
  <si>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</si>
  <si>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</si>
  <si>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</si>
  <si>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</si>
  <si>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</si>
  <si>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</si>
  <si>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</si>
  <si>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</si>
  <si>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</si>
  <si>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</si>
  <si>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</si>
  <si>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</si>
  <si>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</si>
  <si>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</si>
  <si>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</si>
  <si>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</si>
  <si>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</si>
  <si>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</si>
  <si>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</si>
  <si>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</si>
  <si>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</si>
  <si>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</si>
  <si>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</si>
  <si>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</si>
  <si>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</si>
  <si>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</si>
  <si>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</si>
  <si>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</si>
  <si>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</si>
  <si>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</si>
  <si>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</si>
  <si>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</si>
  <si>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</si>
  <si>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</si>
  <si>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</si>
  <si>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</si>
  <si>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</si>
  <si>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</si>
  <si>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</si>
  <si>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</si>
  <si>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</si>
  <si>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</si>
  <si>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</si>
  <si>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</si>
  <si>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</si>
  <si>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</si>
  <si>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</si>
  <si>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</si>
  <si>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</si>
  <si>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</si>
  <si>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</si>
  <si>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</si>
  <si>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</si>
  <si>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</si>
  <si>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</si>
  <si>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</si>
  <si>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</si>
  <si>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</si>
  <si>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</si>
  <si>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</si>
  <si>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</si>
  <si>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</si>
  <si>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</si>
  <si>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</si>
  <si>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</si>
  <si>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</si>
  <si>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</si>
  <si>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</si>
  <si>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</si>
  <si>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</si>
  <si>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</si>
  <si>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</si>
  <si>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</si>
  <si>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</si>
  <si>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</si>
  <si>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</si>
  <si>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</si>
  <si>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</si>
  <si>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</si>
  <si>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</si>
  <si>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</si>
  <si>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</si>
  <si>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</si>
  <si>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</si>
  <si>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</si>
  <si>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</si>
  <si>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</si>
  <si>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</si>
  <si>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</si>
  <si>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</si>
  <si>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</si>
  <si>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</si>
  <si>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</si>
  <si>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</si>
  <si>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</si>
  <si>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</si>
  <si>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</si>
  <si>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</si>
  <si>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</si>
  <si>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</si>
  <si>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</si>
  <si>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</si>
  <si>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</si>
  <si>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</si>
  <si>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</si>
  <si>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</si>
  <si>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</si>
  <si>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</si>
  <si>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</si>
  <si>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</si>
  <si>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</si>
  <si>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</si>
  <si>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</si>
  <si>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</si>
  <si>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</si>
  <si>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</si>
  <si>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</si>
  <si>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</si>
  <si>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</si>
  <si>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</si>
  <si>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</si>
  <si>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</si>
  <si>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</si>
  <si>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</si>
  <si>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</si>
  <si>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</si>
  <si>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</si>
  <si>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</si>
  <si>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</si>
  <si>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</si>
  <si>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</si>
  <si>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</si>
  <si>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</si>
  <si>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</si>
  <si>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</si>
  <si>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</si>
  <si>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</si>
  <si>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</si>
  <si>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</si>
  <si>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</si>
  <si>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</si>
  <si>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</si>
  <si>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</si>
  <si>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</si>
  <si>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</si>
  <si>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</si>
  <si>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</si>
  <si>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</si>
  <si>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</si>
  <si>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</si>
  <si>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</si>
  <si>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</si>
  <si>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</si>
  <si>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</si>
  <si>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</si>
  <si>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</si>
  <si>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</si>
  <si>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</si>
  <si>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</si>
  <si>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</si>
  <si>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</si>
  <si>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</si>
  <si>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</si>
  <si>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</si>
  <si>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float</t>
  </si>
  <si>
    <t>dmgMax</t>
  </si>
  <si>
    <t>dmgMin</t>
  </si>
  <si>
    <t>sprite</t>
  </si>
  <si>
    <t>DamageModifier</t>
  </si>
  <si>
    <t>0,1,0,0,0,0,0,0,0</t>
  </si>
  <si>
    <t>Weapon.Type</t>
  </si>
  <si>
    <t>1,0,0,0,0,0,0,0,0</t>
  </si>
  <si>
    <t>DAGGER</t>
  </si>
  <si>
    <t>SWORD1H</t>
  </si>
  <si>
    <t>SWORD2H</t>
  </si>
  <si>
    <t>CHAKRAM</t>
  </si>
  <si>
    <t>GLOVES</t>
  </si>
  <si>
    <t>FLAIL</t>
  </si>
  <si>
    <t>MACE</t>
  </si>
  <si>
    <t>Redeemer</t>
  </si>
  <si>
    <t>Avenger</t>
  </si>
  <si>
    <t>Bloodbath</t>
  </si>
  <si>
    <t>Eagle</t>
  </si>
  <si>
    <t>Coward</t>
  </si>
  <si>
    <t>Xena</t>
  </si>
  <si>
    <t>Claws</t>
  </si>
  <si>
    <t>Sorrow</t>
  </si>
  <si>
    <t>Bear</t>
  </si>
  <si>
    <t>Nation</t>
  </si>
  <si>
    <t>Unit.Nation</t>
  </si>
  <si>
    <t>ELLADA</t>
  </si>
  <si>
    <t>damager</t>
  </si>
  <si>
    <t>DamageDealer</t>
  </si>
  <si>
    <t>ARC_30</t>
  </si>
  <si>
    <t>STR</t>
  </si>
  <si>
    <t>DEX</t>
  </si>
  <si>
    <t>INT</t>
  </si>
  <si>
    <t>VIT</t>
  </si>
  <si>
    <t>DEF</t>
  </si>
  <si>
    <t>HP</t>
  </si>
  <si>
    <t>SP</t>
  </si>
  <si>
    <t>Item.Type</t>
  </si>
  <si>
    <t>WEAPON</t>
  </si>
  <si>
    <t>critMod</t>
  </si>
  <si>
    <t xml:space="preserve"> +-</t>
  </si>
  <si>
    <t># Weapons</t>
  </si>
  <si>
    <t># Characters</t>
  </si>
  <si>
    <t>Barbarian</t>
  </si>
  <si>
    <t>aspd</t>
  </si>
  <si>
    <t>DEFAULT_WEAPON</t>
  </si>
  <si>
    <t>0,0,1,0,0,0,0,0,0</t>
  </si>
  <si>
    <t>NONE</t>
  </si>
  <si>
    <t>radius</t>
  </si>
  <si>
    <t>ARMOR</t>
  </si>
  <si>
    <t>Hood</t>
  </si>
  <si>
    <t>skin</t>
  </si>
  <si>
    <t>height</t>
  </si>
  <si>
    <t>speed</t>
  </si>
  <si>
    <t>Plate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</si>
</sst>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sz val="11"/>
      <color theme="1"/>
      <name val="Angsana New"/>
      <family val="1"/>
    </font>
    <font>
      <sz val="11"/>
      <color theme="1"/>
      <name val="Verdan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9" xfId="0" applyBorder="1" applyAlignment="1">
      <alignment horizontal="center"/>
    </xf>
    <xf numFmtId="0" fontId="13" fillId="0" borderId="0" xfId="0" applyFont="1" applyBorder="1"/>
    <xf numFmtId="0" fontId="13" fillId="0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4" fontId="14" fillId="0" borderId="0" xfId="0" applyNumberFormat="1" applyFont="1"/>
    <xf numFmtId="4" fontId="15" fillId="0" borderId="0" xfId="0" applyNumberFormat="1" applyFont="1"/>
    <xf numFmtId="4" fontId="16" fillId="0" borderId="0" xfId="0" applyNumberFormat="1" applyFont="1"/>
    <xf numFmtId="4" fontId="17" fillId="0" borderId="0" xfId="0" applyNumberFormat="1" applyFont="1"/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2:F166"/>
  <sheetViews>
    <sheetView workbookViewId="0">
      <selection activeCell="A4" sqref="A4"/>
    </sheetView>
  </sheetViews>
  <sheetFormatPr defaultRowHeight="15"/>
  <cols>
    <col min="1" max="1" width="12.42578125" customWidth="1"/>
    <col min="2" max="2" width="22.5703125" style="1" customWidth="1"/>
    <col min="3" max="3" width="3.28515625" customWidth="1"/>
    <col min="4" max="4" width="17" customWidth="1"/>
    <col min="5" max="5" width="10" style="1" customWidth="1"/>
    <col min="6" max="6" width="13.7109375" customWidth="1"/>
  </cols>
  <sheetData>
    <row r="2" spans="1:6">
      <c r="A2" s="29" t="s">
        <v>845</v>
      </c>
      <c r="B2" s="14" t="s">
        <v>87</v>
      </c>
      <c r="C2" s="71" t="s">
        <v>855</v>
      </c>
      <c r="D2" s="15" t="s">
        <v>61</v>
      </c>
      <c r="E2" s="14" t="s">
        <v>58</v>
      </c>
      <c r="F2" s="14" t="s">
        <v>879</v>
      </c>
    </row>
    <row r="3" spans="1:6">
      <c r="A3" s="69" t="s">
        <v>850</v>
      </c>
      <c r="B3" s="70" t="s">
        <v>858</v>
      </c>
      <c r="C3" s="70" t="s">
        <v>851</v>
      </c>
      <c r="D3" s="70" t="s">
        <v>856</v>
      </c>
      <c r="E3" s="70" t="s">
        <v>852</v>
      </c>
      <c r="F3" s="72" t="s">
        <v>880</v>
      </c>
    </row>
    <row r="4" spans="1:6">
      <c r="A4" s="77" t="s">
        <v>897</v>
      </c>
      <c r="B4" s="78" t="s">
        <v>864</v>
      </c>
      <c r="C4" s="70">
        <v>-1</v>
      </c>
      <c r="D4" s="18" t="s">
        <v>898</v>
      </c>
      <c r="E4" s="79">
        <v>5</v>
      </c>
      <c r="F4" s="18" t="s">
        <v>881</v>
      </c>
    </row>
    <row r="5" spans="1:6">
      <c r="A5" s="75" t="s">
        <v>867</v>
      </c>
      <c r="B5" s="31" t="s">
        <v>861</v>
      </c>
      <c r="C5" s="31">
        <v>0</v>
      </c>
      <c r="D5" s="18" t="s">
        <v>857</v>
      </c>
      <c r="E5" s="18">
        <v>5</v>
      </c>
      <c r="F5" s="18" t="s">
        <v>881</v>
      </c>
    </row>
    <row r="6" spans="1:6">
      <c r="A6" s="75" t="s">
        <v>868</v>
      </c>
      <c r="B6" s="1" t="s">
        <v>862</v>
      </c>
      <c r="C6" s="31">
        <v>1</v>
      </c>
      <c r="D6" s="18" t="s">
        <v>857</v>
      </c>
      <c r="E6" s="18">
        <v>6</v>
      </c>
      <c r="F6" s="18" t="s">
        <v>881</v>
      </c>
    </row>
    <row r="7" spans="1:6">
      <c r="A7" s="75" t="s">
        <v>869</v>
      </c>
      <c r="B7" s="31" t="s">
        <v>59</v>
      </c>
      <c r="C7" s="31">
        <v>2</v>
      </c>
      <c r="D7" s="18" t="s">
        <v>857</v>
      </c>
      <c r="E7" s="18">
        <v>5</v>
      </c>
      <c r="F7" s="18" t="s">
        <v>881</v>
      </c>
    </row>
    <row r="8" spans="1:6">
      <c r="A8" s="75" t="s">
        <v>870</v>
      </c>
      <c r="B8" s="31" t="s">
        <v>680</v>
      </c>
      <c r="C8" s="31">
        <v>1</v>
      </c>
      <c r="D8" s="18" t="s">
        <v>857</v>
      </c>
      <c r="E8" s="1">
        <v>50</v>
      </c>
      <c r="F8" s="18" t="s">
        <v>735</v>
      </c>
    </row>
    <row r="9" spans="1:6">
      <c r="A9" s="75" t="s">
        <v>871</v>
      </c>
      <c r="B9" s="31" t="s">
        <v>860</v>
      </c>
      <c r="C9" s="31">
        <v>1</v>
      </c>
      <c r="D9" s="18" t="s">
        <v>857</v>
      </c>
      <c r="E9" s="18">
        <v>5</v>
      </c>
      <c r="F9" s="18" t="s">
        <v>881</v>
      </c>
    </row>
    <row r="10" spans="1:6">
      <c r="A10" s="75" t="s">
        <v>872</v>
      </c>
      <c r="B10" s="31" t="s">
        <v>863</v>
      </c>
      <c r="C10" s="31">
        <v>2</v>
      </c>
      <c r="D10" s="18" t="s">
        <v>857</v>
      </c>
      <c r="E10" s="18">
        <v>25</v>
      </c>
      <c r="F10" s="18" t="s">
        <v>881</v>
      </c>
    </row>
    <row r="11" spans="1:6">
      <c r="A11" s="75" t="s">
        <v>873</v>
      </c>
      <c r="B11" s="31" t="s">
        <v>864</v>
      </c>
      <c r="C11" s="31">
        <v>1</v>
      </c>
      <c r="D11" s="18" t="s">
        <v>857</v>
      </c>
      <c r="E11" s="18">
        <v>25</v>
      </c>
      <c r="F11" s="18" t="s">
        <v>881</v>
      </c>
    </row>
    <row r="12" spans="1:6">
      <c r="A12" s="75" t="s">
        <v>874</v>
      </c>
      <c r="B12" s="31" t="s">
        <v>865</v>
      </c>
      <c r="C12" s="31">
        <v>1</v>
      </c>
      <c r="D12" s="18" t="s">
        <v>859</v>
      </c>
      <c r="E12" s="18">
        <v>5</v>
      </c>
      <c r="F12" s="18" t="s">
        <v>881</v>
      </c>
    </row>
    <row r="13" spans="1:6">
      <c r="A13" s="75" t="s">
        <v>875</v>
      </c>
      <c r="B13" s="31" t="s">
        <v>866</v>
      </c>
      <c r="C13" s="31">
        <v>1</v>
      </c>
      <c r="D13" s="18" t="s">
        <v>857</v>
      </c>
      <c r="E13" s="1">
        <v>5</v>
      </c>
      <c r="F13" s="18" t="s">
        <v>881</v>
      </c>
    </row>
    <row r="14" spans="1:6">
      <c r="A14" s="24"/>
      <c r="B14" s="31"/>
      <c r="C14" s="24"/>
      <c r="D14" s="18"/>
      <c r="E14" s="18"/>
    </row>
    <row r="15" spans="1:6">
      <c r="A15" s="24"/>
      <c r="B15" s="31"/>
      <c r="C15" s="24"/>
      <c r="D15" s="18"/>
      <c r="E15" s="18"/>
    </row>
    <row r="16" spans="1:6">
      <c r="A16" s="24"/>
      <c r="B16" s="31"/>
      <c r="C16" s="24"/>
      <c r="D16" s="18"/>
      <c r="E16" s="18"/>
    </row>
    <row r="17" spans="1:5">
      <c r="A17" s="24"/>
      <c r="B17" s="31"/>
      <c r="C17" s="24"/>
      <c r="D17" s="18"/>
      <c r="E17" s="18"/>
    </row>
    <row r="18" spans="1:5">
      <c r="A18" s="24"/>
      <c r="B18" s="31"/>
      <c r="C18" s="24"/>
      <c r="D18" s="18"/>
      <c r="E18" s="18"/>
    </row>
    <row r="19" spans="1:5">
      <c r="A19" s="24"/>
      <c r="B19" s="31"/>
      <c r="C19" s="24"/>
      <c r="D19" s="18"/>
      <c r="E19" s="18"/>
    </row>
    <row r="20" spans="1:5">
      <c r="A20" s="24"/>
      <c r="B20" s="31"/>
      <c r="C20" s="24"/>
      <c r="D20" s="18"/>
      <c r="E20" s="18"/>
    </row>
    <row r="21" spans="1:5">
      <c r="A21" s="24"/>
      <c r="B21" s="31"/>
      <c r="C21" s="24"/>
      <c r="D21" s="18"/>
      <c r="E21" s="18"/>
    </row>
    <row r="22" spans="1:5">
      <c r="A22" s="24"/>
      <c r="B22" s="31"/>
      <c r="C22" s="24"/>
      <c r="D22" s="18"/>
      <c r="E22" s="18"/>
    </row>
    <row r="23" spans="1:5">
      <c r="A23" s="24"/>
      <c r="B23" s="31"/>
      <c r="C23" s="24"/>
      <c r="D23" s="18"/>
      <c r="E23" s="18"/>
    </row>
    <row r="24" spans="1:5">
      <c r="A24" s="24"/>
      <c r="B24" s="31"/>
      <c r="C24" s="24"/>
      <c r="D24" s="18"/>
      <c r="E24" s="18"/>
    </row>
    <row r="25" spans="1:5">
      <c r="A25" s="24"/>
      <c r="B25" s="31"/>
      <c r="C25" s="24"/>
      <c r="D25" s="18"/>
      <c r="E25" s="18"/>
    </row>
    <row r="26" spans="1:5">
      <c r="A26" s="24"/>
      <c r="B26" s="31"/>
      <c r="C26" s="24"/>
      <c r="D26" s="18"/>
      <c r="E26" s="18"/>
    </row>
    <row r="27" spans="1:5">
      <c r="A27" s="24"/>
      <c r="B27" s="31"/>
      <c r="C27" s="24"/>
      <c r="D27" s="18"/>
      <c r="E27" s="18"/>
    </row>
    <row r="28" spans="1:5">
      <c r="A28" s="24"/>
      <c r="B28" s="31"/>
      <c r="C28" s="24"/>
      <c r="D28" s="18"/>
      <c r="E28" s="18"/>
    </row>
    <row r="29" spans="1:5">
      <c r="A29" s="24"/>
      <c r="B29" s="31"/>
      <c r="C29" s="24"/>
      <c r="D29" s="18"/>
      <c r="E29" s="18"/>
    </row>
    <row r="31" spans="1:5">
      <c r="A31" s="24"/>
      <c r="B31" s="31"/>
      <c r="C31" s="24"/>
      <c r="D31" s="18"/>
      <c r="E31" s="18"/>
    </row>
    <row r="32" spans="1:5">
      <c r="A32" s="24"/>
      <c r="B32" s="31"/>
      <c r="C32" s="24"/>
      <c r="D32" s="18"/>
      <c r="E32" s="18"/>
    </row>
    <row r="33" spans="1:5">
      <c r="A33" s="24"/>
      <c r="B33" s="31"/>
      <c r="C33" s="24"/>
      <c r="D33" s="18"/>
      <c r="E33" s="18"/>
    </row>
    <row r="34" spans="1:5">
      <c r="A34" s="24"/>
      <c r="B34" s="31"/>
      <c r="C34" s="24"/>
      <c r="D34" s="18"/>
      <c r="E34" s="18"/>
    </row>
    <row r="35" spans="1:5">
      <c r="A35" s="24"/>
      <c r="B35" s="31"/>
      <c r="C35" s="24"/>
      <c r="D35" s="18"/>
      <c r="E35" s="18"/>
    </row>
    <row r="36" spans="1:5">
      <c r="A36" s="24"/>
      <c r="B36" s="31"/>
      <c r="C36" s="24"/>
      <c r="D36" s="18"/>
      <c r="E36" s="18"/>
    </row>
    <row r="37" spans="1:5">
      <c r="A37" s="24"/>
      <c r="B37" s="31"/>
      <c r="C37" s="24"/>
      <c r="D37" s="18"/>
      <c r="E37" s="18"/>
    </row>
    <row r="38" spans="1:5">
      <c r="A38" s="24"/>
      <c r="B38" s="31"/>
      <c r="C38" s="24"/>
      <c r="D38" s="18"/>
      <c r="E38" s="18"/>
    </row>
    <row r="39" spans="1:5">
      <c r="A39" s="24"/>
      <c r="B39" s="31"/>
      <c r="C39" s="24"/>
      <c r="D39" s="18"/>
      <c r="E39" s="18"/>
    </row>
    <row r="40" spans="1:5">
      <c r="A40" s="24"/>
      <c r="B40" s="31"/>
      <c r="C40" s="24"/>
      <c r="D40" s="18"/>
      <c r="E40" s="18"/>
    </row>
    <row r="41" spans="1:5">
      <c r="A41" s="24"/>
      <c r="B41" s="31"/>
      <c r="C41" s="24"/>
      <c r="D41" s="18"/>
      <c r="E41" s="18"/>
    </row>
    <row r="43" spans="1:5">
      <c r="A43" s="24"/>
      <c r="B43" s="31"/>
      <c r="C43" s="24"/>
      <c r="D43" s="18"/>
      <c r="E43" s="18"/>
    </row>
    <row r="44" spans="1:5">
      <c r="A44" s="24"/>
      <c r="B44" s="31"/>
      <c r="C44" s="24"/>
      <c r="D44" s="18"/>
      <c r="E44" s="18"/>
    </row>
    <row r="45" spans="1:5">
      <c r="A45" s="24"/>
      <c r="B45" s="31"/>
      <c r="C45" s="24"/>
      <c r="D45" s="18"/>
      <c r="E45" s="18"/>
    </row>
    <row r="46" spans="1:5">
      <c r="A46" s="24"/>
      <c r="B46" s="31"/>
      <c r="C46" s="24"/>
      <c r="D46" s="18"/>
      <c r="E46" s="18"/>
    </row>
    <row r="47" spans="1:5">
      <c r="A47" s="24"/>
      <c r="B47" s="31"/>
      <c r="C47" s="24"/>
      <c r="D47" s="18"/>
      <c r="E47" s="18"/>
    </row>
    <row r="48" spans="1:5">
      <c r="A48" s="24"/>
      <c r="B48" s="31"/>
      <c r="C48" s="24"/>
      <c r="D48" s="18"/>
      <c r="E48" s="18"/>
    </row>
    <row r="49" spans="1:5">
      <c r="A49" s="24"/>
      <c r="B49" s="31"/>
      <c r="C49" s="24"/>
      <c r="D49" s="18"/>
      <c r="E49" s="18"/>
    </row>
    <row r="50" spans="1:5">
      <c r="A50" s="24"/>
      <c r="B50" s="31"/>
      <c r="C50" s="24"/>
      <c r="D50" s="18"/>
      <c r="E50" s="18"/>
    </row>
    <row r="51" spans="1:5">
      <c r="A51" s="24"/>
      <c r="B51" s="31"/>
      <c r="C51" s="24"/>
      <c r="D51" s="18"/>
      <c r="E51" s="18"/>
    </row>
    <row r="52" spans="1:5">
      <c r="A52" s="24"/>
      <c r="B52" s="31"/>
      <c r="C52" s="24"/>
      <c r="D52" s="18"/>
      <c r="E52" s="18"/>
    </row>
    <row r="53" spans="1:5">
      <c r="A53" s="24"/>
      <c r="B53" s="31"/>
      <c r="C53" s="24"/>
      <c r="D53" s="18"/>
      <c r="E53" s="18"/>
    </row>
    <row r="54" spans="1:5">
      <c r="A54" s="24"/>
      <c r="B54" s="31"/>
      <c r="C54" s="24"/>
      <c r="D54" s="18"/>
      <c r="E54" s="18"/>
    </row>
    <row r="55" spans="1:5">
      <c r="A55" s="24"/>
      <c r="B55" s="31"/>
      <c r="C55" s="24"/>
      <c r="D55" s="18"/>
      <c r="E55" s="18"/>
    </row>
    <row r="56" spans="1:5">
      <c r="A56" s="24"/>
      <c r="B56" s="31"/>
      <c r="C56" s="24"/>
      <c r="D56" s="18"/>
      <c r="E56" s="18"/>
    </row>
    <row r="57" spans="1:5">
      <c r="A57" s="24"/>
      <c r="B57" s="31"/>
      <c r="C57" s="24"/>
      <c r="D57" s="18"/>
      <c r="E57" s="18"/>
    </row>
    <row r="58" spans="1:5">
      <c r="A58" s="24"/>
      <c r="B58" s="31"/>
      <c r="C58" s="24"/>
      <c r="D58" s="18"/>
      <c r="E58" s="18"/>
    </row>
    <row r="59" spans="1:5">
      <c r="A59" s="24"/>
      <c r="B59" s="31"/>
      <c r="C59" s="24"/>
      <c r="D59" s="18"/>
      <c r="E59" s="18"/>
    </row>
    <row r="60" spans="1:5">
      <c r="A60" s="24"/>
      <c r="B60" s="31"/>
      <c r="C60" s="24"/>
      <c r="D60" s="18"/>
      <c r="E60" s="18"/>
    </row>
    <row r="61" spans="1:5">
      <c r="A61" s="24"/>
      <c r="B61" s="31"/>
      <c r="C61" s="24"/>
      <c r="D61" s="18"/>
      <c r="E61" s="18"/>
    </row>
    <row r="62" spans="1:5">
      <c r="A62" s="24"/>
      <c r="B62" s="31"/>
      <c r="C62" s="24"/>
      <c r="D62" s="18"/>
      <c r="E62" s="18"/>
    </row>
    <row r="63" spans="1:5">
      <c r="A63" s="24"/>
      <c r="B63" s="31"/>
      <c r="C63" s="24"/>
      <c r="D63" s="18"/>
      <c r="E63" s="18"/>
    </row>
    <row r="64" spans="1:5">
      <c r="A64" s="24"/>
      <c r="B64" s="31"/>
      <c r="C64" s="24"/>
      <c r="D64" s="18"/>
      <c r="E64" s="18"/>
    </row>
    <row r="65" spans="1:5">
      <c r="A65" s="24"/>
      <c r="B65" s="31"/>
      <c r="C65" s="24"/>
      <c r="D65" s="18"/>
      <c r="E65" s="18"/>
    </row>
    <row r="66" spans="1:5">
      <c r="A66" s="24"/>
      <c r="B66" s="31"/>
      <c r="C66" s="24"/>
      <c r="D66" s="18"/>
      <c r="E66" s="18"/>
    </row>
    <row r="67" spans="1:5">
      <c r="A67" s="24"/>
      <c r="B67" s="31"/>
      <c r="C67" s="24"/>
      <c r="D67" s="18"/>
      <c r="E67" s="18"/>
    </row>
    <row r="68" spans="1:5">
      <c r="A68" s="24"/>
      <c r="B68" s="31"/>
      <c r="C68" s="24"/>
      <c r="D68" s="18"/>
      <c r="E68" s="18"/>
    </row>
    <row r="69" spans="1:5">
      <c r="A69" s="24"/>
      <c r="B69" s="31"/>
      <c r="C69" s="24"/>
      <c r="D69" s="18"/>
      <c r="E69" s="18"/>
    </row>
    <row r="70" spans="1:5">
      <c r="A70" s="24"/>
      <c r="B70" s="31"/>
      <c r="C70" s="24"/>
      <c r="D70" s="18"/>
      <c r="E70" s="18"/>
    </row>
    <row r="71" spans="1:5">
      <c r="A71" s="24"/>
      <c r="B71" s="31"/>
      <c r="C71" s="24"/>
      <c r="D71" s="18"/>
      <c r="E71" s="18"/>
    </row>
    <row r="72" spans="1:5">
      <c r="A72" s="24"/>
      <c r="B72" s="31"/>
      <c r="C72" s="24"/>
      <c r="D72" s="18"/>
      <c r="E72" s="18"/>
    </row>
    <row r="73" spans="1:5">
      <c r="A73" s="24"/>
      <c r="B73" s="31"/>
      <c r="C73" s="24"/>
      <c r="D73" s="18"/>
      <c r="E73" s="18"/>
    </row>
    <row r="74" spans="1:5">
      <c r="A74" s="24"/>
      <c r="B74" s="31"/>
      <c r="C74" s="24"/>
      <c r="D74" s="18"/>
      <c r="E74" s="18"/>
    </row>
    <row r="75" spans="1:5">
      <c r="A75" s="24"/>
      <c r="B75" s="31"/>
      <c r="C75" s="24"/>
      <c r="D75" s="18"/>
      <c r="E75" s="18"/>
    </row>
    <row r="76" spans="1:5">
      <c r="A76" s="24"/>
      <c r="B76" s="31"/>
      <c r="C76" s="24"/>
      <c r="D76" s="18"/>
      <c r="E76" s="18"/>
    </row>
    <row r="77" spans="1:5">
      <c r="A77" s="24"/>
      <c r="B77" s="31"/>
      <c r="C77" s="24"/>
      <c r="D77" s="18"/>
      <c r="E77" s="18"/>
    </row>
    <row r="78" spans="1:5">
      <c r="A78" s="24"/>
      <c r="B78" s="31"/>
      <c r="C78" s="24"/>
      <c r="D78" s="18"/>
      <c r="E78" s="18"/>
    </row>
    <row r="79" spans="1:5">
      <c r="A79" s="24"/>
      <c r="B79" s="31"/>
      <c r="C79" s="24"/>
      <c r="D79" s="18"/>
      <c r="E79" s="18"/>
    </row>
    <row r="80" spans="1:5">
      <c r="A80" s="24"/>
      <c r="B80" s="31"/>
      <c r="C80" s="24"/>
      <c r="D80" s="18"/>
      <c r="E80" s="18"/>
    </row>
    <row r="81" spans="1:5">
      <c r="A81" s="24"/>
      <c r="B81" s="31"/>
      <c r="C81" s="24"/>
      <c r="D81" s="18"/>
      <c r="E81" s="18"/>
    </row>
    <row r="82" spans="1:5">
      <c r="A82" s="24"/>
      <c r="B82" s="31"/>
      <c r="C82" s="24"/>
      <c r="D82" s="18"/>
      <c r="E82" s="18"/>
    </row>
    <row r="83" spans="1:5">
      <c r="A83" s="24"/>
      <c r="B83" s="31"/>
      <c r="C83" s="24"/>
      <c r="D83" s="18"/>
      <c r="E83" s="18"/>
    </row>
    <row r="84" spans="1:5">
      <c r="A84" s="24"/>
      <c r="B84" s="31"/>
      <c r="C84" s="24"/>
      <c r="D84" s="18"/>
      <c r="E84" s="18"/>
    </row>
    <row r="85" spans="1:5">
      <c r="A85" s="24"/>
      <c r="B85" s="31"/>
      <c r="C85" s="24"/>
      <c r="D85" s="18"/>
      <c r="E85" s="18"/>
    </row>
    <row r="86" spans="1:5">
      <c r="A86" s="24"/>
      <c r="B86" s="31"/>
      <c r="C86" s="24"/>
      <c r="D86" s="18"/>
      <c r="E86" s="18"/>
    </row>
    <row r="87" spans="1:5">
      <c r="A87" s="24"/>
      <c r="B87" s="31"/>
      <c r="C87" s="24"/>
      <c r="D87" s="18"/>
      <c r="E87" s="18"/>
    </row>
    <row r="88" spans="1:5">
      <c r="A88" s="24"/>
      <c r="B88" s="31"/>
      <c r="C88" s="24"/>
      <c r="D88" s="18"/>
      <c r="E88" s="18"/>
    </row>
    <row r="89" spans="1:5">
      <c r="A89" s="24"/>
      <c r="B89" s="31"/>
      <c r="C89" s="24"/>
      <c r="D89" s="18"/>
      <c r="E89" s="18"/>
    </row>
    <row r="90" spans="1:5">
      <c r="A90" s="24"/>
      <c r="B90" s="31"/>
      <c r="C90" s="24"/>
      <c r="D90" s="18"/>
      <c r="E90" s="18"/>
    </row>
    <row r="91" spans="1:5">
      <c r="A91" s="24"/>
      <c r="B91" s="31"/>
      <c r="C91" s="24"/>
      <c r="D91" s="18"/>
      <c r="E91" s="18"/>
    </row>
    <row r="92" spans="1:5">
      <c r="A92" s="24"/>
      <c r="B92" s="31"/>
      <c r="C92" s="24"/>
      <c r="D92" s="18"/>
      <c r="E92" s="18"/>
    </row>
    <row r="93" spans="1:5">
      <c r="A93" s="24"/>
      <c r="B93" s="31"/>
      <c r="C93" s="24"/>
      <c r="D93" s="18"/>
      <c r="E93" s="18"/>
    </row>
    <row r="94" spans="1:5">
      <c r="A94" s="24"/>
      <c r="B94" s="31"/>
      <c r="C94" s="24"/>
      <c r="D94" s="18"/>
      <c r="E94" s="18"/>
    </row>
    <row r="95" spans="1:5">
      <c r="A95" s="24"/>
      <c r="B95" s="31"/>
      <c r="C95" s="24"/>
      <c r="D95" s="18"/>
      <c r="E95" s="18"/>
    </row>
    <row r="96" spans="1:5">
      <c r="A96" s="24"/>
      <c r="B96" s="31"/>
      <c r="C96" s="24"/>
      <c r="D96" s="18"/>
      <c r="E96" s="18"/>
    </row>
    <row r="97" spans="1:5">
      <c r="A97" s="24"/>
      <c r="B97" s="31"/>
      <c r="C97" s="24"/>
      <c r="D97" s="18"/>
      <c r="E97" s="18"/>
    </row>
    <row r="98" spans="1:5">
      <c r="A98" s="24"/>
      <c r="B98" s="31"/>
      <c r="C98" s="24"/>
      <c r="D98" s="18"/>
      <c r="E98" s="18"/>
    </row>
    <row r="99" spans="1:5">
      <c r="A99" s="24"/>
      <c r="B99" s="31"/>
      <c r="C99" s="24"/>
      <c r="D99" s="18"/>
      <c r="E99" s="18"/>
    </row>
    <row r="100" spans="1:5">
      <c r="A100" s="24"/>
      <c r="B100" s="31"/>
      <c r="C100" s="24"/>
      <c r="D100" s="18"/>
      <c r="E100" s="18"/>
    </row>
    <row r="101" spans="1:5">
      <c r="A101" s="24"/>
      <c r="B101" s="31"/>
      <c r="C101" s="24"/>
      <c r="D101" s="18"/>
      <c r="E101" s="18"/>
    </row>
    <row r="102" spans="1:5">
      <c r="A102" s="24"/>
      <c r="B102" s="31"/>
      <c r="C102" s="24"/>
      <c r="D102" s="18"/>
      <c r="E102" s="18"/>
    </row>
    <row r="103" spans="1:5">
      <c r="A103" s="24"/>
      <c r="B103" s="31"/>
      <c r="C103" s="24"/>
      <c r="D103" s="18"/>
      <c r="E103" s="18"/>
    </row>
    <row r="104" spans="1:5">
      <c r="A104" s="24"/>
      <c r="B104" s="31"/>
      <c r="C104" s="24"/>
      <c r="D104" s="18"/>
      <c r="E104" s="18"/>
    </row>
    <row r="105" spans="1:5">
      <c r="A105" s="24"/>
      <c r="B105" s="31"/>
      <c r="C105" s="24"/>
      <c r="D105" s="18"/>
      <c r="E105" s="18"/>
    </row>
    <row r="106" spans="1:5">
      <c r="A106" s="24"/>
      <c r="B106" s="31"/>
      <c r="C106" s="24"/>
      <c r="D106" s="18"/>
      <c r="E106" s="18"/>
    </row>
    <row r="107" spans="1:5">
      <c r="A107" s="24"/>
      <c r="B107" s="31"/>
      <c r="C107" s="24"/>
      <c r="D107" s="18"/>
      <c r="E107" s="18"/>
    </row>
    <row r="108" spans="1:5">
      <c r="A108" s="24"/>
      <c r="B108" s="31"/>
      <c r="C108" s="24"/>
      <c r="D108" s="18"/>
      <c r="E108" s="18"/>
    </row>
    <row r="109" spans="1:5">
      <c r="A109" s="24"/>
      <c r="B109" s="31"/>
      <c r="C109" s="24"/>
      <c r="D109" s="18"/>
      <c r="E109" s="18"/>
    </row>
    <row r="110" spans="1:5">
      <c r="A110" s="24"/>
      <c r="B110" s="31"/>
      <c r="C110" s="24"/>
      <c r="D110" s="18"/>
      <c r="E110" s="18"/>
    </row>
    <row r="111" spans="1:5">
      <c r="A111" s="24"/>
      <c r="B111" s="31"/>
      <c r="C111" s="24"/>
      <c r="D111" s="18"/>
      <c r="E111" s="18"/>
    </row>
    <row r="112" spans="1:5">
      <c r="A112" s="24"/>
      <c r="B112" s="31"/>
      <c r="C112" s="24"/>
      <c r="D112" s="18"/>
      <c r="E112" s="18"/>
    </row>
    <row r="113" spans="1:5">
      <c r="A113" s="24"/>
      <c r="B113" s="31"/>
      <c r="C113" s="24"/>
      <c r="D113" s="18"/>
      <c r="E113" s="18"/>
    </row>
    <row r="114" spans="1:5">
      <c r="A114" s="24"/>
      <c r="B114" s="31"/>
      <c r="C114" s="24"/>
      <c r="D114" s="18"/>
      <c r="E114" s="18"/>
    </row>
    <row r="115" spans="1:5">
      <c r="A115" s="24"/>
      <c r="B115" s="31"/>
      <c r="C115" s="24"/>
      <c r="D115" s="18"/>
      <c r="E115" s="18"/>
    </row>
    <row r="116" spans="1:5">
      <c r="A116" s="24"/>
      <c r="B116" s="31"/>
      <c r="C116" s="24"/>
      <c r="D116" s="18"/>
      <c r="E116" s="18"/>
    </row>
    <row r="117" spans="1:5">
      <c r="A117" s="24"/>
      <c r="B117" s="31"/>
      <c r="C117" s="24"/>
      <c r="D117" s="18"/>
      <c r="E117" s="18"/>
    </row>
    <row r="118" spans="1:5">
      <c r="A118" s="24"/>
      <c r="B118" s="31"/>
      <c r="C118" s="24"/>
      <c r="D118" s="18"/>
      <c r="E118" s="18"/>
    </row>
    <row r="119" spans="1:5">
      <c r="A119" s="24"/>
      <c r="B119" s="31"/>
      <c r="C119" s="24"/>
      <c r="D119" s="18"/>
      <c r="E119" s="18"/>
    </row>
    <row r="120" spans="1:5">
      <c r="A120" s="24"/>
      <c r="B120" s="31"/>
      <c r="C120" s="24"/>
      <c r="D120" s="18"/>
      <c r="E120" s="18"/>
    </row>
    <row r="121" spans="1:5">
      <c r="A121" s="24"/>
      <c r="B121" s="31"/>
      <c r="C121" s="24"/>
      <c r="D121" s="18"/>
      <c r="E121" s="18"/>
    </row>
    <row r="122" spans="1:5">
      <c r="A122" s="24"/>
      <c r="B122" s="31"/>
      <c r="C122" s="24"/>
      <c r="D122" s="18"/>
      <c r="E122" s="18"/>
    </row>
    <row r="123" spans="1:5">
      <c r="A123" s="24"/>
      <c r="B123" s="31"/>
      <c r="C123" s="24"/>
      <c r="D123" s="18"/>
      <c r="E123" s="18"/>
    </row>
    <row r="124" spans="1:5">
      <c r="A124" s="24"/>
      <c r="B124" s="31"/>
      <c r="C124" s="24"/>
      <c r="D124" s="18"/>
      <c r="E124" s="18"/>
    </row>
    <row r="125" spans="1:5">
      <c r="A125" s="24"/>
      <c r="B125" s="31"/>
      <c r="C125" s="24"/>
      <c r="D125" s="18"/>
      <c r="E125" s="18"/>
    </row>
    <row r="126" spans="1:5">
      <c r="A126" s="24"/>
      <c r="B126" s="31"/>
      <c r="C126" s="24"/>
      <c r="D126" s="18"/>
      <c r="E126" s="18"/>
    </row>
    <row r="127" spans="1:5">
      <c r="A127" s="24"/>
      <c r="B127" s="31"/>
      <c r="C127" s="24"/>
      <c r="D127" s="18"/>
      <c r="E127" s="18"/>
    </row>
    <row r="128" spans="1:5">
      <c r="A128" s="24"/>
      <c r="B128" s="31"/>
      <c r="C128" s="24"/>
      <c r="D128" s="18"/>
      <c r="E128" s="18"/>
    </row>
    <row r="129" spans="1:5">
      <c r="A129" s="24"/>
      <c r="B129" s="31"/>
      <c r="C129" s="24"/>
      <c r="D129" s="18"/>
      <c r="E129" s="18"/>
    </row>
    <row r="130" spans="1:5">
      <c r="A130" s="24"/>
      <c r="B130" s="31"/>
      <c r="C130" s="24"/>
      <c r="D130" s="18"/>
      <c r="E130" s="18"/>
    </row>
    <row r="131" spans="1:5">
      <c r="A131" s="24"/>
      <c r="B131" s="31"/>
      <c r="C131" s="24"/>
      <c r="D131" s="18"/>
      <c r="E131" s="18"/>
    </row>
    <row r="132" spans="1:5">
      <c r="A132" s="24"/>
      <c r="B132" s="31"/>
      <c r="C132" s="24"/>
      <c r="D132" s="18"/>
      <c r="E132" s="18"/>
    </row>
    <row r="133" spans="1:5">
      <c r="A133" s="24"/>
      <c r="B133" s="31"/>
      <c r="C133" s="24"/>
      <c r="D133" s="18"/>
      <c r="E133" s="18"/>
    </row>
    <row r="134" spans="1:5">
      <c r="A134" s="24"/>
      <c r="B134" s="31"/>
      <c r="C134" s="24"/>
      <c r="D134" s="18"/>
      <c r="E134" s="18"/>
    </row>
    <row r="135" spans="1:5">
      <c r="A135" s="24"/>
      <c r="B135" s="31"/>
      <c r="C135" s="24"/>
      <c r="D135" s="18"/>
      <c r="E135" s="18"/>
    </row>
    <row r="136" spans="1:5">
      <c r="A136" s="24"/>
      <c r="B136" s="31"/>
      <c r="C136" s="24"/>
      <c r="D136" s="18"/>
      <c r="E136" s="18"/>
    </row>
    <row r="137" spans="1:5">
      <c r="A137" s="24"/>
      <c r="B137" s="31"/>
      <c r="C137" s="24"/>
      <c r="D137" s="18"/>
      <c r="E137" s="18"/>
    </row>
    <row r="138" spans="1:5">
      <c r="A138" s="24"/>
      <c r="B138" s="31"/>
      <c r="C138" s="24"/>
      <c r="D138" s="18"/>
      <c r="E138" s="18"/>
    </row>
    <row r="139" spans="1:5">
      <c r="A139" s="24"/>
      <c r="B139" s="31"/>
      <c r="C139" s="24"/>
      <c r="D139" s="18"/>
      <c r="E139" s="18"/>
    </row>
    <row r="140" spans="1:5">
      <c r="A140" s="24"/>
      <c r="B140" s="31"/>
      <c r="C140" s="24"/>
      <c r="D140" s="18"/>
      <c r="E140" s="18"/>
    </row>
    <row r="141" spans="1:5">
      <c r="A141" s="24"/>
      <c r="B141" s="31"/>
      <c r="C141" s="24"/>
      <c r="D141" s="18"/>
      <c r="E141" s="18"/>
    </row>
    <row r="142" spans="1:5">
      <c r="A142" s="24"/>
      <c r="B142" s="31"/>
      <c r="C142" s="24"/>
      <c r="D142" s="18"/>
      <c r="E142" s="18"/>
    </row>
    <row r="143" spans="1:5">
      <c r="A143" s="24"/>
      <c r="B143" s="31"/>
      <c r="C143" s="24"/>
      <c r="D143" s="18"/>
      <c r="E143" s="18"/>
    </row>
    <row r="144" spans="1:5">
      <c r="A144" s="24"/>
      <c r="B144" s="31"/>
      <c r="C144" s="24"/>
      <c r="D144" s="18"/>
      <c r="E144" s="18"/>
    </row>
    <row r="145" spans="1:5">
      <c r="A145" s="24"/>
      <c r="B145" s="31"/>
      <c r="C145" s="24"/>
      <c r="D145" s="18"/>
      <c r="E145" s="18"/>
    </row>
    <row r="146" spans="1:5">
      <c r="A146" s="24"/>
      <c r="B146" s="31"/>
      <c r="C146" s="24"/>
      <c r="D146" s="18"/>
      <c r="E146" s="18"/>
    </row>
    <row r="147" spans="1:5">
      <c r="A147" s="24"/>
      <c r="B147" s="31"/>
      <c r="C147" s="24"/>
      <c r="D147" s="18"/>
      <c r="E147" s="18"/>
    </row>
    <row r="148" spans="1:5">
      <c r="A148" s="24"/>
      <c r="B148" s="31"/>
      <c r="C148" s="24"/>
      <c r="D148" s="18"/>
      <c r="E148" s="18"/>
    </row>
    <row r="149" spans="1:5">
      <c r="A149" s="24"/>
      <c r="B149" s="31"/>
      <c r="C149" s="24"/>
      <c r="D149" s="18"/>
      <c r="E149" s="18"/>
    </row>
    <row r="150" spans="1:5">
      <c r="A150" s="24"/>
      <c r="B150" s="31"/>
      <c r="C150" s="24"/>
      <c r="D150" s="18"/>
      <c r="E150" s="18"/>
    </row>
    <row r="151" spans="1:5">
      <c r="A151" s="17"/>
      <c r="B151" s="18"/>
      <c r="C151" s="17"/>
      <c r="D151" s="18"/>
      <c r="E151" s="18"/>
    </row>
    <row r="152" spans="1:5">
      <c r="A152" s="17"/>
      <c r="B152" s="18"/>
      <c r="C152" s="17"/>
      <c r="D152" s="18"/>
      <c r="E152" s="18"/>
    </row>
    <row r="153" spans="1:5">
      <c r="A153" s="17"/>
      <c r="B153" s="18"/>
      <c r="C153" s="17"/>
      <c r="D153" s="18"/>
      <c r="E153" s="18"/>
    </row>
    <row r="154" spans="1:5">
      <c r="A154" s="17"/>
      <c r="B154" s="18"/>
      <c r="C154" s="17"/>
      <c r="D154" s="18"/>
      <c r="E154" s="18"/>
    </row>
    <row r="155" spans="1:5">
      <c r="A155" s="17"/>
      <c r="B155" s="18"/>
      <c r="C155" s="17"/>
      <c r="D155" s="18"/>
      <c r="E155" s="18"/>
    </row>
    <row r="156" spans="1:5">
      <c r="D156" s="1"/>
    </row>
    <row r="157" spans="1:5">
      <c r="D157" s="1"/>
    </row>
    <row r="158" spans="1:5">
      <c r="D158" s="1"/>
    </row>
    <row r="159" spans="1:5">
      <c r="D159" s="1"/>
    </row>
    <row r="160" spans="1:5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2:K15"/>
  <sheetViews>
    <sheetView tabSelected="1" workbookViewId="0">
      <selection activeCell="B13" sqref="B13"/>
    </sheetView>
  </sheetViews>
  <sheetFormatPr defaultRowHeight="15"/>
  <cols>
    <col min="1" max="1" width="13.85546875" customWidth="1"/>
    <col min="2" max="2" width="15.28515625" customWidth="1"/>
    <col min="3" max="3" width="18.28515625" customWidth="1"/>
  </cols>
  <sheetData>
    <row r="2" spans="1:11">
      <c r="A2" s="29" t="s">
        <v>845</v>
      </c>
      <c r="B2" s="14" t="s">
        <v>87</v>
      </c>
      <c r="C2" s="14" t="s">
        <v>828</v>
      </c>
      <c r="D2" s="71" t="s">
        <v>855</v>
      </c>
      <c r="E2" s="74" t="s">
        <v>876</v>
      </c>
      <c r="F2" s="74" t="s">
        <v>1</v>
      </c>
      <c r="G2" s="73" t="s">
        <v>98</v>
      </c>
      <c r="H2" s="18"/>
      <c r="I2" s="18"/>
      <c r="J2" s="18"/>
      <c r="K2" s="31"/>
    </row>
    <row r="3" spans="1:11">
      <c r="A3" s="69" t="s">
        <v>850</v>
      </c>
      <c r="B3" s="70" t="s">
        <v>889</v>
      </c>
      <c r="C3" s="70" t="s">
        <v>850</v>
      </c>
      <c r="D3" s="70" t="s">
        <v>851</v>
      </c>
      <c r="E3" s="70" t="s">
        <v>877</v>
      </c>
      <c r="F3" s="70" t="s">
        <v>851</v>
      </c>
      <c r="G3" s="70" t="s">
        <v>851</v>
      </c>
      <c r="H3" s="70"/>
      <c r="I3" s="70"/>
      <c r="J3" s="72"/>
      <c r="K3" s="70"/>
    </row>
    <row r="4" spans="1:11">
      <c r="A4" s="77" t="s">
        <v>897</v>
      </c>
      <c r="B4" s="31" t="s">
        <v>890</v>
      </c>
      <c r="C4" s="70"/>
      <c r="D4" s="70">
        <v>-1</v>
      </c>
      <c r="E4" s="79" t="s">
        <v>899</v>
      </c>
      <c r="F4" s="70">
        <v>0</v>
      </c>
      <c r="G4" s="70">
        <v>0</v>
      </c>
      <c r="H4" s="70"/>
      <c r="I4" s="70"/>
      <c r="J4" s="72"/>
      <c r="K4" s="70"/>
    </row>
    <row r="5" spans="1:11">
      <c r="A5" s="75" t="s">
        <v>867</v>
      </c>
      <c r="B5" s="31" t="s">
        <v>890</v>
      </c>
      <c r="C5" s="31" t="s">
        <v>867</v>
      </c>
      <c r="D5" s="31">
        <v>0</v>
      </c>
      <c r="E5" s="11" t="s">
        <v>878</v>
      </c>
      <c r="F5" s="11">
        <v>2</v>
      </c>
      <c r="G5" s="11">
        <v>100</v>
      </c>
      <c r="H5" s="31"/>
      <c r="I5" s="31"/>
      <c r="J5" s="18"/>
    </row>
    <row r="6" spans="1:11">
      <c r="A6" s="75" t="s">
        <v>868</v>
      </c>
      <c r="B6" s="31" t="s">
        <v>890</v>
      </c>
      <c r="C6" s="31" t="s">
        <v>868</v>
      </c>
      <c r="D6" s="31">
        <v>1</v>
      </c>
      <c r="E6" s="11" t="s">
        <v>878</v>
      </c>
      <c r="F6" s="11">
        <v>3</v>
      </c>
      <c r="G6" s="11">
        <v>100</v>
      </c>
      <c r="H6" s="18"/>
      <c r="I6" s="31"/>
      <c r="J6" s="18"/>
    </row>
    <row r="7" spans="1:11">
      <c r="A7" s="75" t="s">
        <v>869</v>
      </c>
      <c r="B7" s="31" t="s">
        <v>890</v>
      </c>
      <c r="C7" s="31" t="s">
        <v>869</v>
      </c>
      <c r="D7" s="31">
        <v>2</v>
      </c>
      <c r="E7" s="11" t="s">
        <v>878</v>
      </c>
      <c r="F7" s="11">
        <v>4</v>
      </c>
      <c r="G7" s="11">
        <v>100</v>
      </c>
      <c r="H7" s="18"/>
      <c r="I7" s="31"/>
      <c r="J7" s="18"/>
    </row>
    <row r="8" spans="1:11">
      <c r="A8" s="75" t="s">
        <v>870</v>
      </c>
      <c r="B8" s="31" t="s">
        <v>890</v>
      </c>
      <c r="C8" s="31" t="s">
        <v>870</v>
      </c>
      <c r="D8" s="31">
        <v>1</v>
      </c>
      <c r="E8" s="11" t="s">
        <v>878</v>
      </c>
      <c r="F8" s="11">
        <v>5</v>
      </c>
      <c r="G8" s="11">
        <v>100</v>
      </c>
    </row>
    <row r="9" spans="1:11">
      <c r="A9" s="75" t="s">
        <v>871</v>
      </c>
      <c r="B9" s="31" t="s">
        <v>890</v>
      </c>
      <c r="C9" s="31" t="s">
        <v>871</v>
      </c>
      <c r="D9" s="31">
        <v>1</v>
      </c>
      <c r="E9" s="11" t="s">
        <v>878</v>
      </c>
      <c r="F9" s="11">
        <v>6</v>
      </c>
      <c r="G9" s="11">
        <v>100</v>
      </c>
    </row>
    <row r="10" spans="1:11">
      <c r="A10" s="75" t="s">
        <v>872</v>
      </c>
      <c r="B10" s="31" t="s">
        <v>890</v>
      </c>
      <c r="C10" s="31" t="s">
        <v>872</v>
      </c>
      <c r="D10" s="31">
        <v>2</v>
      </c>
      <c r="E10" s="11" t="s">
        <v>878</v>
      </c>
      <c r="F10" s="11">
        <v>1</v>
      </c>
      <c r="G10" s="11">
        <v>100</v>
      </c>
    </row>
    <row r="11" spans="1:11">
      <c r="A11" s="75" t="s">
        <v>873</v>
      </c>
      <c r="B11" s="31" t="s">
        <v>890</v>
      </c>
      <c r="C11" s="31" t="s">
        <v>873</v>
      </c>
      <c r="D11" s="31">
        <v>1</v>
      </c>
      <c r="E11" s="11" t="s">
        <v>878</v>
      </c>
      <c r="F11" s="11">
        <v>2</v>
      </c>
      <c r="G11" s="11">
        <v>100</v>
      </c>
    </row>
    <row r="12" spans="1:11">
      <c r="A12" s="75" t="s">
        <v>874</v>
      </c>
      <c r="B12" s="31" t="s">
        <v>890</v>
      </c>
      <c r="C12" s="31" t="s">
        <v>874</v>
      </c>
      <c r="D12" s="31">
        <v>1</v>
      </c>
      <c r="E12" s="11" t="s">
        <v>878</v>
      </c>
      <c r="F12" s="11">
        <v>3</v>
      </c>
      <c r="G12" s="11">
        <v>100</v>
      </c>
    </row>
    <row r="13" spans="1:11">
      <c r="A13" s="75" t="s">
        <v>875</v>
      </c>
      <c r="B13" s="31" t="s">
        <v>890</v>
      </c>
      <c r="C13" s="31" t="s">
        <v>875</v>
      </c>
      <c r="D13" s="31">
        <v>1</v>
      </c>
      <c r="E13" s="11" t="s">
        <v>878</v>
      </c>
      <c r="F13" s="11">
        <v>4</v>
      </c>
      <c r="G13" s="11">
        <v>100</v>
      </c>
    </row>
    <row r="14" spans="1:11">
      <c r="A14" s="75" t="s">
        <v>902</v>
      </c>
      <c r="B14" s="31" t="s">
        <v>901</v>
      </c>
      <c r="C14" s="31" t="s">
        <v>902</v>
      </c>
      <c r="D14" s="31">
        <v>1</v>
      </c>
      <c r="E14" s="11" t="s">
        <v>878</v>
      </c>
      <c r="F14" s="11">
        <v>1</v>
      </c>
      <c r="G14" s="11">
        <v>101</v>
      </c>
    </row>
    <row r="15" spans="1:11">
      <c r="A15" s="75" t="s">
        <v>906</v>
      </c>
      <c r="B15" s="31" t="s">
        <v>901</v>
      </c>
      <c r="C15" s="31" t="s">
        <v>902</v>
      </c>
      <c r="D15" s="31">
        <v>1</v>
      </c>
      <c r="E15" s="11" t="s">
        <v>878</v>
      </c>
      <c r="F15" s="11">
        <v>1</v>
      </c>
      <c r="G15" s="11"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6"/>
  <dimension ref="A1:N22"/>
  <sheetViews>
    <sheetView workbookViewId="0">
      <selection activeCell="O10" sqref="O10"/>
    </sheetView>
  </sheetViews>
  <sheetFormatPr defaultRowHeight="15"/>
  <cols>
    <col min="1" max="1" width="22.28515625" customWidth="1"/>
    <col min="7" max="8" width="9.140625" customWidth="1"/>
    <col min="10" max="10" width="8.140625" customWidth="1"/>
    <col min="11" max="14" width="5.7109375" customWidth="1"/>
  </cols>
  <sheetData>
    <row r="1" spans="1:14">
      <c r="B1" t="s">
        <v>892</v>
      </c>
    </row>
    <row r="2" spans="1:14">
      <c r="A2" s="29" t="s">
        <v>845</v>
      </c>
      <c r="B2" s="76" t="s">
        <v>854</v>
      </c>
      <c r="C2" s="76" t="s">
        <v>853</v>
      </c>
      <c r="D2" s="76" t="s">
        <v>886</v>
      </c>
      <c r="E2" s="76" t="s">
        <v>887</v>
      </c>
      <c r="F2" s="76" t="s">
        <v>888</v>
      </c>
      <c r="G2" s="76" t="s">
        <v>47</v>
      </c>
      <c r="H2" s="76" t="s">
        <v>891</v>
      </c>
      <c r="I2" s="76" t="s">
        <v>896</v>
      </c>
      <c r="J2" s="76" t="s">
        <v>905</v>
      </c>
      <c r="K2" s="25" t="s">
        <v>882</v>
      </c>
      <c r="L2" s="25" t="s">
        <v>883</v>
      </c>
      <c r="M2" s="25" t="s">
        <v>884</v>
      </c>
      <c r="N2" s="25" t="s">
        <v>885</v>
      </c>
    </row>
    <row r="3" spans="1:14">
      <c r="A3" s="69" t="s">
        <v>850</v>
      </c>
      <c r="B3" s="70" t="s">
        <v>851</v>
      </c>
      <c r="C3" s="70" t="s">
        <v>851</v>
      </c>
      <c r="D3" s="70" t="s">
        <v>851</v>
      </c>
      <c r="E3" s="70" t="s">
        <v>851</v>
      </c>
      <c r="F3" s="70" t="s">
        <v>851</v>
      </c>
      <c r="G3" s="70" t="s">
        <v>851</v>
      </c>
      <c r="H3" s="70" t="s">
        <v>852</v>
      </c>
      <c r="I3" s="70" t="s">
        <v>852</v>
      </c>
      <c r="J3" s="70" t="s">
        <v>852</v>
      </c>
      <c r="K3" s="70" t="s">
        <v>851</v>
      </c>
      <c r="L3" s="70" t="s">
        <v>851</v>
      </c>
      <c r="M3" s="70" t="s">
        <v>851</v>
      </c>
      <c r="N3" s="70" t="s">
        <v>851</v>
      </c>
    </row>
    <row r="4" spans="1:14">
      <c r="A4" s="77" t="s">
        <v>893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</row>
    <row r="5" spans="1:14">
      <c r="A5" s="77" t="s">
        <v>897</v>
      </c>
      <c r="B5" s="79">
        <v>5</v>
      </c>
      <c r="C5" s="79">
        <v>10</v>
      </c>
      <c r="D5" s="79">
        <v>0</v>
      </c>
      <c r="E5" s="79">
        <v>0</v>
      </c>
      <c r="F5" s="79">
        <v>0</v>
      </c>
      <c r="G5" s="79">
        <v>0</v>
      </c>
      <c r="H5" s="79">
        <v>1</v>
      </c>
      <c r="I5" s="79">
        <v>0</v>
      </c>
      <c r="J5" s="79">
        <v>0</v>
      </c>
      <c r="K5" s="79">
        <v>0</v>
      </c>
      <c r="L5" s="79">
        <v>0</v>
      </c>
      <c r="M5" s="79">
        <v>0</v>
      </c>
      <c r="N5" s="79">
        <v>0</v>
      </c>
    </row>
    <row r="6" spans="1:14">
      <c r="A6" s="75" t="s">
        <v>867</v>
      </c>
      <c r="B6" s="18">
        <v>19</v>
      </c>
      <c r="C6" s="18">
        <v>25</v>
      </c>
      <c r="D6" s="18">
        <v>0</v>
      </c>
      <c r="E6" s="18">
        <v>0</v>
      </c>
      <c r="F6" s="18">
        <v>0</v>
      </c>
      <c r="G6" s="18">
        <v>5</v>
      </c>
      <c r="H6" s="18">
        <v>2</v>
      </c>
      <c r="I6" s="18">
        <v>0</v>
      </c>
      <c r="J6" s="18">
        <v>0</v>
      </c>
      <c r="K6" s="31">
        <v>0</v>
      </c>
      <c r="L6" s="31">
        <v>0</v>
      </c>
      <c r="M6" s="31">
        <v>0</v>
      </c>
      <c r="N6" s="31">
        <v>0</v>
      </c>
    </row>
    <row r="7" spans="1:14">
      <c r="A7" s="75" t="s">
        <v>868</v>
      </c>
      <c r="B7" s="18">
        <v>17</v>
      </c>
      <c r="C7" s="18">
        <v>23</v>
      </c>
      <c r="D7" s="18">
        <v>0</v>
      </c>
      <c r="E7" s="18">
        <v>0</v>
      </c>
      <c r="F7" s="18">
        <v>0</v>
      </c>
      <c r="G7" s="18">
        <v>5</v>
      </c>
      <c r="H7" s="18">
        <v>2</v>
      </c>
      <c r="I7" s="18">
        <v>0</v>
      </c>
      <c r="J7" s="18">
        <v>0</v>
      </c>
      <c r="K7" s="31">
        <v>0</v>
      </c>
      <c r="L7" s="31">
        <v>0</v>
      </c>
      <c r="M7" s="31">
        <v>0</v>
      </c>
      <c r="N7" s="31">
        <v>0</v>
      </c>
    </row>
    <row r="8" spans="1:14">
      <c r="A8" s="75" t="s">
        <v>869</v>
      </c>
      <c r="B8" s="18">
        <v>12</v>
      </c>
      <c r="C8" s="18">
        <v>28</v>
      </c>
      <c r="D8" s="18">
        <v>0</v>
      </c>
      <c r="E8" s="18">
        <v>0</v>
      </c>
      <c r="F8" s="18">
        <v>0</v>
      </c>
      <c r="G8" s="18">
        <v>5</v>
      </c>
      <c r="H8" s="18">
        <v>2</v>
      </c>
      <c r="I8" s="18">
        <v>0</v>
      </c>
      <c r="J8" s="18">
        <v>0</v>
      </c>
      <c r="K8" s="31">
        <v>0</v>
      </c>
      <c r="L8" s="31">
        <v>0</v>
      </c>
      <c r="M8" s="31">
        <v>0</v>
      </c>
      <c r="N8" s="31">
        <v>0</v>
      </c>
    </row>
    <row r="9" spans="1:14">
      <c r="A9" s="75" t="s">
        <v>870</v>
      </c>
      <c r="B9" s="1">
        <v>50</v>
      </c>
      <c r="C9" s="1">
        <v>100</v>
      </c>
      <c r="D9" s="18">
        <v>0</v>
      </c>
      <c r="E9" s="18">
        <v>0</v>
      </c>
      <c r="F9" s="18">
        <v>0</v>
      </c>
      <c r="G9" s="18">
        <v>10</v>
      </c>
      <c r="H9" s="18">
        <v>1</v>
      </c>
      <c r="I9" s="18">
        <v>0</v>
      </c>
      <c r="J9" s="18">
        <v>0</v>
      </c>
      <c r="K9" s="31">
        <v>0</v>
      </c>
      <c r="L9" s="31">
        <v>0</v>
      </c>
      <c r="M9" s="31">
        <v>0</v>
      </c>
      <c r="N9" s="31">
        <v>0</v>
      </c>
    </row>
    <row r="10" spans="1:14">
      <c r="A10" s="75" t="s">
        <v>871</v>
      </c>
      <c r="B10" s="18">
        <f>B11</f>
        <v>10</v>
      </c>
      <c r="C10" s="18">
        <f>C11</f>
        <v>20</v>
      </c>
      <c r="D10" s="18">
        <v>0</v>
      </c>
      <c r="E10" s="18">
        <v>0</v>
      </c>
      <c r="F10" s="18">
        <v>0</v>
      </c>
      <c r="G10" s="9">
        <v>20</v>
      </c>
      <c r="H10" s="9">
        <v>1.5</v>
      </c>
      <c r="I10" s="18">
        <v>0</v>
      </c>
      <c r="J10" s="18">
        <v>0</v>
      </c>
      <c r="K10" s="31">
        <v>0</v>
      </c>
      <c r="L10" s="31">
        <v>0</v>
      </c>
      <c r="M10" s="31">
        <v>0</v>
      </c>
      <c r="N10" s="31">
        <v>0</v>
      </c>
    </row>
    <row r="11" spans="1:14">
      <c r="A11" s="75" t="s">
        <v>872</v>
      </c>
      <c r="B11" s="18">
        <v>10</v>
      </c>
      <c r="C11" s="18">
        <v>20</v>
      </c>
      <c r="D11" s="18">
        <v>0</v>
      </c>
      <c r="E11" s="18">
        <v>0</v>
      </c>
      <c r="F11" s="18">
        <v>0</v>
      </c>
      <c r="G11" s="9">
        <v>25</v>
      </c>
      <c r="H11" s="9">
        <v>1.5</v>
      </c>
      <c r="I11" s="18">
        <v>0</v>
      </c>
      <c r="J11" s="18">
        <v>0</v>
      </c>
      <c r="K11" s="31">
        <v>0</v>
      </c>
      <c r="L11" s="31">
        <v>0</v>
      </c>
      <c r="M11" s="31">
        <v>0</v>
      </c>
      <c r="N11" s="31">
        <v>0</v>
      </c>
    </row>
    <row r="12" spans="1:14">
      <c r="A12" s="75" t="s">
        <v>873</v>
      </c>
      <c r="B12" s="18">
        <v>20</v>
      </c>
      <c r="C12" s="18">
        <v>33</v>
      </c>
      <c r="D12" s="18">
        <v>0</v>
      </c>
      <c r="E12" s="18">
        <v>0</v>
      </c>
      <c r="F12" s="18">
        <v>0</v>
      </c>
      <c r="G12" s="18">
        <v>5</v>
      </c>
      <c r="H12" s="18">
        <v>2</v>
      </c>
      <c r="I12" s="18">
        <v>0</v>
      </c>
      <c r="J12" s="18">
        <v>0</v>
      </c>
      <c r="K12" s="31">
        <v>0</v>
      </c>
      <c r="L12" s="31">
        <v>0</v>
      </c>
      <c r="M12" s="31">
        <v>0</v>
      </c>
      <c r="N12" s="31">
        <v>0</v>
      </c>
    </row>
    <row r="13" spans="1:14">
      <c r="A13" s="75" t="s">
        <v>874</v>
      </c>
      <c r="B13" s="18">
        <v>100</v>
      </c>
      <c r="C13" s="18">
        <v>100</v>
      </c>
      <c r="D13" s="18">
        <v>0</v>
      </c>
      <c r="E13" s="18">
        <v>0</v>
      </c>
      <c r="F13" s="18">
        <v>0</v>
      </c>
      <c r="G13" s="18">
        <v>1</v>
      </c>
      <c r="H13" s="18">
        <v>1</v>
      </c>
      <c r="I13" s="18">
        <v>0</v>
      </c>
      <c r="J13" s="18">
        <v>0</v>
      </c>
      <c r="K13" s="31">
        <v>0</v>
      </c>
      <c r="L13" s="31">
        <v>0</v>
      </c>
      <c r="M13" s="31">
        <v>0</v>
      </c>
      <c r="N13" s="31">
        <v>0</v>
      </c>
    </row>
    <row r="14" spans="1:14">
      <c r="A14" s="75" t="s">
        <v>875</v>
      </c>
      <c r="B14" s="1">
        <v>50</v>
      </c>
      <c r="C14" s="1">
        <v>100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31">
        <v>0</v>
      </c>
      <c r="L14" s="31">
        <v>0</v>
      </c>
      <c r="M14" s="31">
        <v>0</v>
      </c>
      <c r="N14" s="31">
        <v>0</v>
      </c>
    </row>
    <row r="15" spans="1:14">
      <c r="A15" s="75" t="s">
        <v>894</v>
      </c>
    </row>
    <row r="16" spans="1:14">
      <c r="A16" s="75" t="s">
        <v>895</v>
      </c>
      <c r="B16" s="18">
        <v>0</v>
      </c>
      <c r="C16" s="18">
        <v>0</v>
      </c>
      <c r="D16" s="18">
        <v>0</v>
      </c>
      <c r="E16" s="18">
        <v>100</v>
      </c>
      <c r="F16" s="18">
        <v>20</v>
      </c>
      <c r="G16" s="18">
        <v>0</v>
      </c>
      <c r="H16" s="18">
        <v>1</v>
      </c>
      <c r="I16" s="18">
        <v>0</v>
      </c>
      <c r="J16" s="18">
        <v>3.5</v>
      </c>
      <c r="K16" s="31">
        <v>16</v>
      </c>
      <c r="L16" s="31">
        <v>12</v>
      </c>
      <c r="M16" s="31">
        <v>6</v>
      </c>
      <c r="N16" s="31">
        <v>14</v>
      </c>
    </row>
    <row r="19" spans="2:2">
      <c r="B19" s="83"/>
    </row>
    <row r="20" spans="2:2">
      <c r="B20" s="80"/>
    </row>
    <row r="21" spans="2:2">
      <c r="B21" s="81"/>
    </row>
    <row r="22" spans="2:2" ht="16.5">
      <c r="B22" s="82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8"/>
  <dimension ref="A2:E102"/>
  <sheetViews>
    <sheetView workbookViewId="0">
      <selection activeCell="F21" sqref="F21"/>
    </sheetView>
  </sheetViews>
  <sheetFormatPr defaultRowHeight="15"/>
  <cols>
    <col min="1" max="1" width="15.140625" customWidth="1"/>
    <col min="5" max="5" width="13" customWidth="1"/>
  </cols>
  <sheetData>
    <row r="2" spans="1:5">
      <c r="A2" s="29" t="s">
        <v>845</v>
      </c>
      <c r="B2" s="14" t="s">
        <v>900</v>
      </c>
      <c r="C2" s="14" t="s">
        <v>904</v>
      </c>
      <c r="D2" s="74" t="s">
        <v>903</v>
      </c>
      <c r="E2" s="74" t="s">
        <v>876</v>
      </c>
    </row>
    <row r="3" spans="1:5">
      <c r="A3" s="69" t="s">
        <v>850</v>
      </c>
      <c r="B3" s="70" t="s">
        <v>852</v>
      </c>
      <c r="C3" s="70" t="s">
        <v>852</v>
      </c>
      <c r="D3" s="70" t="s">
        <v>851</v>
      </c>
      <c r="E3" s="70" t="s">
        <v>877</v>
      </c>
    </row>
    <row r="4" spans="1:5">
      <c r="A4" s="75" t="s">
        <v>895</v>
      </c>
      <c r="B4" s="70">
        <v>2</v>
      </c>
      <c r="C4" s="70">
        <v>8</v>
      </c>
      <c r="D4" s="70">
        <v>0</v>
      </c>
      <c r="E4" s="79" t="s">
        <v>878</v>
      </c>
    </row>
    <row r="5" spans="1:5">
      <c r="A5" s="75"/>
      <c r="B5" s="31"/>
      <c r="C5" s="31"/>
      <c r="D5" s="11"/>
      <c r="E5" s="11"/>
    </row>
    <row r="6" spans="1:5">
      <c r="A6" s="75"/>
      <c r="B6" s="31"/>
      <c r="C6" s="31"/>
      <c r="D6" s="11"/>
      <c r="E6" s="11"/>
    </row>
    <row r="7" spans="1:5">
      <c r="A7" s="75"/>
      <c r="B7" s="31"/>
      <c r="C7" s="31"/>
      <c r="D7" s="11"/>
      <c r="E7" s="11"/>
    </row>
    <row r="8" spans="1:5">
      <c r="A8" s="75"/>
      <c r="B8" s="31"/>
      <c r="C8" s="31"/>
      <c r="D8" s="11"/>
      <c r="E8" s="11"/>
    </row>
    <row r="9" spans="1:5">
      <c r="A9" s="75"/>
      <c r="B9" s="31"/>
      <c r="C9" s="31"/>
      <c r="D9" s="11"/>
      <c r="E9" s="11"/>
    </row>
    <row r="10" spans="1:5">
      <c r="A10" s="75"/>
      <c r="B10" s="31"/>
      <c r="C10" s="31"/>
      <c r="D10" s="11"/>
      <c r="E10" s="11"/>
    </row>
    <row r="11" spans="1:5">
      <c r="A11" s="75"/>
      <c r="B11" s="31"/>
      <c r="C11" s="31"/>
      <c r="D11" s="11"/>
      <c r="E11" s="11"/>
    </row>
    <row r="12" spans="1:5">
      <c r="A12" s="75"/>
      <c r="B12" s="31"/>
      <c r="C12" s="31"/>
      <c r="D12" s="11"/>
      <c r="E12" s="11"/>
    </row>
    <row r="13" spans="1:5">
      <c r="A13" s="75"/>
      <c r="B13" s="31"/>
      <c r="C13" s="31"/>
      <c r="D13" s="11"/>
      <c r="E13" s="11"/>
    </row>
    <row r="14" spans="1:5">
      <c r="D14" s="10"/>
    </row>
    <row r="15" spans="1:5">
      <c r="D15" s="10"/>
    </row>
    <row r="16" spans="1:5">
      <c r="D16" s="10"/>
    </row>
    <row r="17" spans="4:4">
      <c r="D17" s="10"/>
    </row>
    <row r="18" spans="4:4">
      <c r="D18" s="10"/>
    </row>
    <row r="19" spans="4:4">
      <c r="D19" s="10"/>
    </row>
    <row r="20" spans="4:4">
      <c r="D20" s="10"/>
    </row>
    <row r="21" spans="4:4">
      <c r="D21" s="10"/>
    </row>
    <row r="22" spans="4:4">
      <c r="D22" s="10"/>
    </row>
    <row r="23" spans="4:4">
      <c r="D23" s="10"/>
    </row>
    <row r="24" spans="4:4">
      <c r="D24" s="10"/>
    </row>
    <row r="25" spans="4:4">
      <c r="D25" s="10"/>
    </row>
    <row r="26" spans="4:4">
      <c r="D26" s="10"/>
    </row>
    <row r="27" spans="4:4">
      <c r="D27" s="10"/>
    </row>
    <row r="28" spans="4:4">
      <c r="D28" s="10"/>
    </row>
    <row r="29" spans="4:4">
      <c r="D29" s="10"/>
    </row>
    <row r="30" spans="4:4">
      <c r="D30" s="10"/>
    </row>
    <row r="31" spans="4:4">
      <c r="D31" s="10"/>
    </row>
    <row r="32" spans="4:4">
      <c r="D32" s="10"/>
    </row>
    <row r="33" spans="4:4">
      <c r="D33" s="10"/>
    </row>
    <row r="34" spans="4:4">
      <c r="D34" s="10"/>
    </row>
    <row r="35" spans="4:4">
      <c r="D35" s="10"/>
    </row>
    <row r="36" spans="4:4">
      <c r="D36" s="10"/>
    </row>
    <row r="37" spans="4:4">
      <c r="D37" s="10"/>
    </row>
    <row r="38" spans="4:4">
      <c r="D38" s="10"/>
    </row>
    <row r="39" spans="4:4">
      <c r="D39" s="10"/>
    </row>
    <row r="40" spans="4:4">
      <c r="D40" s="10"/>
    </row>
    <row r="41" spans="4:4">
      <c r="D41" s="10"/>
    </row>
    <row r="42" spans="4:4">
      <c r="D42" s="10"/>
    </row>
    <row r="43" spans="4:4">
      <c r="D43" s="10"/>
    </row>
    <row r="44" spans="4:4">
      <c r="D44" s="10"/>
    </row>
    <row r="45" spans="4:4">
      <c r="D45" s="10"/>
    </row>
    <row r="46" spans="4:4">
      <c r="D46" s="10"/>
    </row>
    <row r="47" spans="4:4">
      <c r="D47" s="10"/>
    </row>
    <row r="48" spans="4:4">
      <c r="D48" s="10"/>
    </row>
    <row r="49" spans="4:4">
      <c r="D49" s="10"/>
    </row>
    <row r="50" spans="4:4">
      <c r="D50" s="10"/>
    </row>
    <row r="51" spans="4:4">
      <c r="D51" s="10"/>
    </row>
    <row r="52" spans="4:4">
      <c r="D52" s="10"/>
    </row>
    <row r="53" spans="4:4">
      <c r="D53" s="10"/>
    </row>
    <row r="54" spans="4:4">
      <c r="D54" s="10"/>
    </row>
    <row r="55" spans="4:4">
      <c r="D55" s="10"/>
    </row>
    <row r="56" spans="4:4">
      <c r="D56" s="10"/>
    </row>
    <row r="57" spans="4:4">
      <c r="D57" s="10"/>
    </row>
    <row r="58" spans="4:4">
      <c r="D58" s="10"/>
    </row>
    <row r="59" spans="4:4">
      <c r="D59" s="10"/>
    </row>
    <row r="60" spans="4:4">
      <c r="D60" s="10"/>
    </row>
    <row r="61" spans="4:4">
      <c r="D61" s="10"/>
    </row>
    <row r="62" spans="4:4">
      <c r="D62" s="10"/>
    </row>
    <row r="63" spans="4:4">
      <c r="D63" s="10"/>
    </row>
    <row r="64" spans="4:4">
      <c r="D64" s="10"/>
    </row>
    <row r="65" spans="4:4">
      <c r="D65" s="10"/>
    </row>
    <row r="66" spans="4:4">
      <c r="D66" s="10"/>
    </row>
    <row r="67" spans="4:4">
      <c r="D67" s="10"/>
    </row>
    <row r="68" spans="4:4">
      <c r="D68" s="10"/>
    </row>
    <row r="69" spans="4:4">
      <c r="D69" s="10"/>
    </row>
    <row r="70" spans="4:4">
      <c r="D70" s="10"/>
    </row>
    <row r="71" spans="4:4">
      <c r="D71" s="10"/>
    </row>
    <row r="72" spans="4:4">
      <c r="D72" s="10"/>
    </row>
    <row r="73" spans="4:4">
      <c r="D73" s="10"/>
    </row>
    <row r="74" spans="4:4">
      <c r="D74" s="10"/>
    </row>
    <row r="75" spans="4:4">
      <c r="D75" s="10"/>
    </row>
    <row r="76" spans="4:4">
      <c r="D76" s="10"/>
    </row>
    <row r="77" spans="4:4">
      <c r="D77" s="10"/>
    </row>
    <row r="78" spans="4:4">
      <c r="D78" s="10"/>
    </row>
    <row r="79" spans="4:4">
      <c r="D79" s="10"/>
    </row>
    <row r="80" spans="4:4">
      <c r="D80" s="10"/>
    </row>
    <row r="81" spans="4:4">
      <c r="D81" s="10"/>
    </row>
    <row r="82" spans="4:4">
      <c r="D82" s="10"/>
    </row>
    <row r="83" spans="4:4">
      <c r="D83" s="10"/>
    </row>
    <row r="84" spans="4:4">
      <c r="D84" s="10"/>
    </row>
    <row r="85" spans="4:4">
      <c r="D85" s="10"/>
    </row>
    <row r="86" spans="4:4">
      <c r="D86" s="10"/>
    </row>
    <row r="87" spans="4:4">
      <c r="D87" s="10"/>
    </row>
    <row r="88" spans="4:4">
      <c r="D88" s="10"/>
    </row>
    <row r="89" spans="4:4">
      <c r="D89" s="10"/>
    </row>
    <row r="90" spans="4:4">
      <c r="D90" s="10"/>
    </row>
    <row r="91" spans="4:4">
      <c r="D91" s="10"/>
    </row>
    <row r="92" spans="4:4">
      <c r="D92" s="10"/>
    </row>
    <row r="93" spans="4:4">
      <c r="D93" s="10"/>
    </row>
    <row r="94" spans="4:4">
      <c r="D94" s="10"/>
    </row>
    <row r="95" spans="4:4">
      <c r="D95" s="10"/>
    </row>
    <row r="96" spans="4:4">
      <c r="D96" s="10"/>
    </row>
    <row r="97" spans="4:4">
      <c r="D97" s="10"/>
    </row>
    <row r="98" spans="4:4">
      <c r="D98" s="10"/>
    </row>
    <row r="99" spans="4:4">
      <c r="D99" s="10"/>
    </row>
    <row r="100" spans="4:4">
      <c r="D100" s="10"/>
    </row>
    <row r="101" spans="4:4">
      <c r="D101" s="10"/>
    </row>
    <row r="102" spans="4:4">
      <c r="D102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158</v>
      </c>
      <c r="L1" s="28" t="s">
        <v>659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159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160</v>
      </c>
      <c r="AF1" s="14" t="s">
        <v>161</v>
      </c>
      <c r="AG1" s="14" t="s">
        <v>162</v>
      </c>
      <c r="AH1" s="33" t="s">
        <v>163</v>
      </c>
      <c r="AI1" s="32" t="s">
        <v>164</v>
      </c>
    </row>
    <row r="2" spans="1:35">
      <c r="A2" s="65" t="s">
        <v>637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668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633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664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634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636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665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635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638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155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639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155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640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667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155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641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666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155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642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620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155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643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644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645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646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647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648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155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649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668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155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650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155</v>
      </c>
    </row>
    <row r="20" spans="1:35">
      <c r="A20" s="64" t="s">
        <v>621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155</v>
      </c>
    </row>
    <row r="21" spans="1:35">
      <c r="A21" s="64" t="s">
        <v>622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155</v>
      </c>
    </row>
    <row r="22" spans="1:35">
      <c r="A22" s="49" t="s">
        <v>651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156</v>
      </c>
    </row>
    <row r="23" spans="1:35">
      <c r="A23" s="49" t="s">
        <v>653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156</v>
      </c>
    </row>
    <row r="24" spans="1:35">
      <c r="A24" s="49" t="s">
        <v>655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156</v>
      </c>
    </row>
    <row r="25" spans="1:35">
      <c r="A25" s="49" t="s">
        <v>658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156</v>
      </c>
    </row>
    <row r="26" spans="1:35">
      <c r="A26" s="49" t="s">
        <v>663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664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156</v>
      </c>
    </row>
    <row r="27" spans="1:35">
      <c r="A27" s="49" t="s">
        <v>767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156</v>
      </c>
    </row>
    <row r="28" spans="1:35">
      <c r="A28" s="49" t="s">
        <v>652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156</v>
      </c>
    </row>
    <row r="29" spans="1:35">
      <c r="A29" s="49" t="s">
        <v>654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156</v>
      </c>
    </row>
    <row r="30" spans="1:35">
      <c r="A30" s="49" t="s">
        <v>656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156</v>
      </c>
    </row>
    <row r="31" spans="1:35">
      <c r="A31" s="49" t="s">
        <v>657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156</v>
      </c>
    </row>
    <row r="32" spans="1:35">
      <c r="A32" s="49" t="s">
        <v>662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156</v>
      </c>
    </row>
    <row r="33" spans="1:23">
      <c r="A33" s="49" t="s">
        <v>768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156</v>
      </c>
    </row>
    <row r="34" spans="1:23">
      <c r="A34" s="68" t="s">
        <v>786</v>
      </c>
      <c r="B34" s="17" t="s">
        <v>97</v>
      </c>
      <c r="C34" s="17" t="s">
        <v>91</v>
      </c>
      <c r="D34" s="18">
        <v>10</v>
      </c>
      <c r="E34" s="18" t="s">
        <v>788</v>
      </c>
      <c r="F34" s="18">
        <v>500</v>
      </c>
      <c r="G34" s="18">
        <v>20</v>
      </c>
      <c r="H34" s="18" t="s">
        <v>668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769</v>
      </c>
    </row>
    <row r="35" spans="1:23">
      <c r="A35" s="68" t="s">
        <v>790</v>
      </c>
      <c r="B35" s="17" t="s">
        <v>97</v>
      </c>
      <c r="C35" s="17" t="s">
        <v>91</v>
      </c>
      <c r="D35" s="18">
        <v>20</v>
      </c>
      <c r="E35" s="18" t="s">
        <v>791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769</v>
      </c>
    </row>
    <row r="36" spans="1:23">
      <c r="A36" s="68" t="s">
        <v>794</v>
      </c>
      <c r="B36" s="17" t="s">
        <v>97</v>
      </c>
      <c r="C36" s="17" t="s">
        <v>91</v>
      </c>
      <c r="D36" s="18">
        <v>20</v>
      </c>
      <c r="E36" s="18" t="s">
        <v>664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769</v>
      </c>
    </row>
    <row r="37" spans="1:23">
      <c r="A37" s="68" t="s">
        <v>797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664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769</v>
      </c>
    </row>
    <row r="38" spans="1:23">
      <c r="A38" s="68" t="s">
        <v>798</v>
      </c>
      <c r="B38" s="17" t="s">
        <v>97</v>
      </c>
      <c r="C38" s="17" t="s">
        <v>91</v>
      </c>
      <c r="D38" s="18">
        <v>0</v>
      </c>
      <c r="E38" s="18" t="s">
        <v>801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769</v>
      </c>
    </row>
    <row r="39" spans="1:23">
      <c r="A39" s="68" t="s">
        <v>802</v>
      </c>
      <c r="B39" s="17" t="s">
        <v>97</v>
      </c>
      <c r="C39" s="17" t="s">
        <v>91</v>
      </c>
      <c r="D39" s="18">
        <v>10</v>
      </c>
      <c r="E39" s="18" t="s">
        <v>804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769</v>
      </c>
    </row>
    <row r="40" spans="1:23">
      <c r="A40" s="68" t="s">
        <v>787</v>
      </c>
      <c r="B40" s="17" t="s">
        <v>93</v>
      </c>
      <c r="C40" s="17" t="s">
        <v>91</v>
      </c>
      <c r="D40" s="18">
        <v>30</v>
      </c>
      <c r="E40" s="18" t="s">
        <v>788</v>
      </c>
      <c r="F40" s="18">
        <v>100</v>
      </c>
      <c r="G40" s="18">
        <v>30</v>
      </c>
      <c r="H40" s="18" t="s">
        <v>668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769</v>
      </c>
    </row>
    <row r="41" spans="1:23">
      <c r="A41" s="68" t="s">
        <v>789</v>
      </c>
      <c r="B41" s="17" t="s">
        <v>93</v>
      </c>
      <c r="C41" s="17" t="s">
        <v>91</v>
      </c>
      <c r="D41" s="18">
        <v>50</v>
      </c>
      <c r="E41" s="18" t="s">
        <v>792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769</v>
      </c>
    </row>
    <row r="42" spans="1:23">
      <c r="A42" s="68" t="s">
        <v>793</v>
      </c>
      <c r="B42" s="17" t="s">
        <v>93</v>
      </c>
      <c r="C42" s="17" t="s">
        <v>91</v>
      </c>
      <c r="D42" s="18">
        <v>20</v>
      </c>
      <c r="E42" s="18" t="s">
        <v>795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769</v>
      </c>
    </row>
    <row r="43" spans="1:23">
      <c r="A43" s="68" t="s">
        <v>796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620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769</v>
      </c>
    </row>
    <row r="44" spans="1:23">
      <c r="A44" s="68" t="s">
        <v>799</v>
      </c>
      <c r="B44" s="17" t="s">
        <v>93</v>
      </c>
      <c r="C44" s="17" t="s">
        <v>91</v>
      </c>
      <c r="D44" s="18">
        <v>0</v>
      </c>
      <c r="E44" s="18" t="s">
        <v>800</v>
      </c>
      <c r="F44" s="18">
        <v>0</v>
      </c>
      <c r="G44" s="18">
        <v>10</v>
      </c>
      <c r="H44" s="18" t="s">
        <v>668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769</v>
      </c>
    </row>
    <row r="45" spans="1:23">
      <c r="A45" s="68" t="s">
        <v>803</v>
      </c>
      <c r="B45" s="17" t="s">
        <v>93</v>
      </c>
      <c r="C45" s="17" t="s">
        <v>91</v>
      </c>
      <c r="D45" s="18">
        <v>10</v>
      </c>
      <c r="E45" s="18" t="s">
        <v>805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769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165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166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167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168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169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170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171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172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173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174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175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176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177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178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479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179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183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184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182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180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181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249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190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185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186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187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188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189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191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301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192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193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194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195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196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197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198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199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201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200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202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203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204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205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206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207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211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210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208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209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212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213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214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215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216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217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218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219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221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220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222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223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224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225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226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227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228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229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230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231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232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233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234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235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480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236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237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297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238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239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240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248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241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242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243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244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245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246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247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298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250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251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252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253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254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255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256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257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258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259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260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261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262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263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264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265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266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267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268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269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270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271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272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273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274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275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276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277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278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279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280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281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282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283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284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285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286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287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288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289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290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291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292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293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481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294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299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300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302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303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304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305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306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307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308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309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310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311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295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296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312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313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314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315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420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423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421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422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424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425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426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427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428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429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430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431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432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433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434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435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436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437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438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439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291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440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441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442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443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444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445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460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461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462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463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470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456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457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458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459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464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465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466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467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468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469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156</v>
      </c>
    </row>
    <row r="245" spans="1:23">
      <c r="A245" s="24" t="s">
        <v>473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156</v>
      </c>
    </row>
    <row r="246" spans="1:23">
      <c r="A246" s="24" t="s">
        <v>474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156</v>
      </c>
    </row>
    <row r="247" spans="1:23">
      <c r="A247" s="24" t="s">
        <v>475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156</v>
      </c>
    </row>
    <row r="248" spans="1:23">
      <c r="A248" s="24" t="s">
        <v>595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156</v>
      </c>
    </row>
    <row r="249" spans="1:23">
      <c r="A249" s="24" t="s">
        <v>598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156</v>
      </c>
    </row>
    <row r="250" spans="1:23">
      <c r="A250" s="17" t="s">
        <v>596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599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597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600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845</v>
      </c>
      <c r="B1" s="2" t="s">
        <v>87</v>
      </c>
      <c r="C1" s="3" t="s">
        <v>828</v>
      </c>
      <c r="D1" s="1" t="s">
        <v>95</v>
      </c>
      <c r="E1" s="2" t="s">
        <v>830</v>
      </c>
      <c r="F1" s="2" t="s">
        <v>831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659</v>
      </c>
      <c r="O1" s="11" t="s">
        <v>446</v>
      </c>
      <c r="P1" s="11" t="s">
        <v>829</v>
      </c>
      <c r="Q1" s="2" t="s">
        <v>101</v>
      </c>
      <c r="S1" s="3" t="s">
        <v>157</v>
      </c>
      <c r="T1" s="3" t="s">
        <v>629</v>
      </c>
      <c r="U1" s="3" t="s">
        <v>737</v>
      </c>
      <c r="V1" s="3" t="s">
        <v>400</v>
      </c>
    </row>
    <row r="2" spans="1:30">
      <c r="A2" s="2" t="s">
        <v>63</v>
      </c>
      <c r="B2" s="2" t="s">
        <v>846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815</v>
      </c>
      <c r="X2" s="9" t="s">
        <v>400</v>
      </c>
    </row>
    <row r="3" spans="1:30">
      <c r="A3" s="2" t="s">
        <v>81</v>
      </c>
      <c r="B3" s="2" t="s">
        <v>847</v>
      </c>
      <c r="C3" t="s">
        <v>849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630</v>
      </c>
      <c r="U3" s="2" t="s">
        <v>63</v>
      </c>
      <c r="V3" s="2" t="s">
        <v>63</v>
      </c>
      <c r="W3" s="2" t="s">
        <v>815</v>
      </c>
      <c r="X3" s="9" t="s">
        <v>400</v>
      </c>
    </row>
    <row r="4" spans="1:30">
      <c r="A4" s="2" t="s">
        <v>2</v>
      </c>
      <c r="B4" s="2" t="s">
        <v>846</v>
      </c>
      <c r="C4" t="s">
        <v>848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815</v>
      </c>
      <c r="X4" s="9" t="s">
        <v>400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603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739</v>
      </c>
      <c r="V10" s="2" t="s">
        <v>102</v>
      </c>
      <c r="W10" s="2" t="s">
        <v>747</v>
      </c>
      <c r="X10" s="9" t="s">
        <v>400</v>
      </c>
      <c r="Y10" s="10">
        <v>150</v>
      </c>
    </row>
    <row r="11" spans="1:30">
      <c r="A11" s="2" t="s">
        <v>2</v>
      </c>
      <c r="B11" s="2" t="s">
        <v>52</v>
      </c>
      <c r="C11" s="4" t="s">
        <v>604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738</v>
      </c>
      <c r="V11" s="2" t="s">
        <v>79</v>
      </c>
      <c r="W11" s="2" t="s">
        <v>747</v>
      </c>
      <c r="X11" s="9" t="s">
        <v>400</v>
      </c>
      <c r="Y11" s="10">
        <v>180</v>
      </c>
    </row>
    <row r="12" spans="1:30">
      <c r="A12" s="2" t="s">
        <v>82</v>
      </c>
      <c r="B12" s="2" t="s">
        <v>52</v>
      </c>
      <c r="C12" s="4" t="s">
        <v>605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630</v>
      </c>
      <c r="U12" s="2" t="s">
        <v>740</v>
      </c>
      <c r="V12" s="2" t="s">
        <v>736</v>
      </c>
      <c r="W12" s="2" t="s">
        <v>747</v>
      </c>
      <c r="X12" s="9" t="s">
        <v>400</v>
      </c>
      <c r="Y12" s="10">
        <v>160</v>
      </c>
    </row>
    <row r="13" spans="1:30">
      <c r="A13" s="2" t="s">
        <v>3</v>
      </c>
      <c r="B13" s="2" t="s">
        <v>52</v>
      </c>
      <c r="C13" s="4" t="s">
        <v>606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747</v>
      </c>
      <c r="X13" s="9" t="s">
        <v>400</v>
      </c>
      <c r="Y13" s="10">
        <v>150</v>
      </c>
    </row>
    <row r="14" spans="1:30">
      <c r="A14" s="2" t="s">
        <v>4</v>
      </c>
      <c r="B14" s="2" t="s">
        <v>52</v>
      </c>
      <c r="C14" s="4" t="s">
        <v>607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630</v>
      </c>
      <c r="U14" s="2" t="s">
        <v>736</v>
      </c>
      <c r="V14" s="2" t="s">
        <v>82</v>
      </c>
      <c r="W14" s="2" t="s">
        <v>747</v>
      </c>
      <c r="X14" s="9" t="s">
        <v>400</v>
      </c>
      <c r="Y14" s="10">
        <v>140</v>
      </c>
    </row>
    <row r="15" spans="1:30">
      <c r="A15" s="2" t="s">
        <v>412</v>
      </c>
      <c r="B15" s="2" t="s">
        <v>53</v>
      </c>
      <c r="C15" t="s">
        <v>691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472</v>
      </c>
      <c r="X15" s="9">
        <v>8</v>
      </c>
      <c r="Y15" s="66" t="s">
        <v>725</v>
      </c>
      <c r="Z15" s="7"/>
      <c r="AA15" s="7"/>
      <c r="AB15" s="7"/>
      <c r="AC15" s="7"/>
      <c r="AD15" s="7"/>
    </row>
    <row r="16" spans="1:30">
      <c r="A16" s="2" t="s">
        <v>411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738</v>
      </c>
      <c r="V16" s="2" t="s">
        <v>103</v>
      </c>
      <c r="W16" s="2" t="s">
        <v>472</v>
      </c>
      <c r="X16" s="9">
        <v>8</v>
      </c>
      <c r="Y16" s="66" t="s">
        <v>726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692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448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630</v>
      </c>
      <c r="U17" s="2" t="s">
        <v>744</v>
      </c>
      <c r="V17" s="2" t="s">
        <v>82</v>
      </c>
      <c r="W17" s="2" t="s">
        <v>472</v>
      </c>
      <c r="X17" s="9">
        <v>8</v>
      </c>
      <c r="Y17" s="66" t="s">
        <v>727</v>
      </c>
      <c r="AA17" s="7"/>
      <c r="AB17" s="7"/>
      <c r="AC17" s="7"/>
      <c r="AD17" s="7"/>
    </row>
    <row r="18" spans="1:30">
      <c r="A18" s="2" t="s">
        <v>400</v>
      </c>
      <c r="B18" s="2" t="s">
        <v>53</v>
      </c>
      <c r="C18" s="4" t="s">
        <v>693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741</v>
      </c>
      <c r="V18" s="2" t="s">
        <v>79</v>
      </c>
      <c r="W18" s="2" t="s">
        <v>472</v>
      </c>
      <c r="X18" s="9">
        <v>8</v>
      </c>
      <c r="Y18" s="66" t="s">
        <v>728</v>
      </c>
      <c r="AA18" s="7"/>
      <c r="AB18" s="7"/>
      <c r="AC18" s="7"/>
      <c r="AD18" s="7"/>
    </row>
    <row r="19" spans="1:30">
      <c r="A19" s="2" t="s">
        <v>616</v>
      </c>
      <c r="B19" s="2" t="s">
        <v>53</v>
      </c>
      <c r="C19" s="4" t="s">
        <v>694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742</v>
      </c>
      <c r="V19" s="2" t="s">
        <v>743</v>
      </c>
      <c r="W19" s="2" t="s">
        <v>472</v>
      </c>
      <c r="X19" s="9">
        <v>8</v>
      </c>
      <c r="Y19" s="66" t="s">
        <v>728</v>
      </c>
      <c r="Z19" s="7"/>
    </row>
    <row r="20" spans="1:30">
      <c r="A20" s="2" t="s">
        <v>5</v>
      </c>
      <c r="B20" s="2" t="s">
        <v>53</v>
      </c>
      <c r="C20" s="4" t="s">
        <v>695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721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720</v>
      </c>
      <c r="U20" s="2" t="s">
        <v>105</v>
      </c>
      <c r="V20" s="2" t="s">
        <v>2</v>
      </c>
      <c r="W20" s="2" t="s">
        <v>472</v>
      </c>
      <c r="X20" s="9">
        <v>8</v>
      </c>
      <c r="Y20" s="66" t="s">
        <v>729</v>
      </c>
      <c r="Z20" s="7"/>
    </row>
    <row r="21" spans="1:30">
      <c r="A21" s="2" t="s">
        <v>617</v>
      </c>
      <c r="B21" s="2" t="s">
        <v>680</v>
      </c>
      <c r="C21" t="s">
        <v>701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400</v>
      </c>
      <c r="L21" s="2" t="s">
        <v>735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736</v>
      </c>
      <c r="V21" s="2" t="s">
        <v>2</v>
      </c>
      <c r="W21" s="2" t="s">
        <v>63</v>
      </c>
      <c r="X21" s="9" t="s">
        <v>400</v>
      </c>
      <c r="Y21" s="66" t="s">
        <v>727</v>
      </c>
      <c r="Z21" s="7"/>
    </row>
    <row r="22" spans="1:30">
      <c r="A22" s="2" t="s">
        <v>491</v>
      </c>
      <c r="B22" s="2" t="s">
        <v>680</v>
      </c>
      <c r="C22" s="4" t="s">
        <v>702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400</v>
      </c>
      <c r="L22" s="2" t="s">
        <v>735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400</v>
      </c>
      <c r="Y22" s="66" t="s">
        <v>725</v>
      </c>
      <c r="Z22" s="7"/>
    </row>
    <row r="23" spans="1:30">
      <c r="A23" s="2" t="s">
        <v>399</v>
      </c>
      <c r="B23" s="2" t="s">
        <v>680</v>
      </c>
      <c r="C23" s="4" t="s">
        <v>703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400</v>
      </c>
      <c r="L23" s="2" t="s">
        <v>735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630</v>
      </c>
      <c r="U23" s="2" t="s">
        <v>739</v>
      </c>
      <c r="V23" s="2" t="s">
        <v>107</v>
      </c>
      <c r="W23" s="2" t="s">
        <v>63</v>
      </c>
      <c r="X23" s="9" t="s">
        <v>400</v>
      </c>
      <c r="Y23" s="66" t="s">
        <v>729</v>
      </c>
      <c r="Z23" s="7"/>
    </row>
    <row r="24" spans="1:30">
      <c r="A24" s="2" t="s">
        <v>618</v>
      </c>
      <c r="B24" s="2" t="s">
        <v>680</v>
      </c>
      <c r="C24" s="4" t="s">
        <v>704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400</v>
      </c>
      <c r="L24" s="2" t="s">
        <v>735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738</v>
      </c>
      <c r="V24" s="2" t="s">
        <v>79</v>
      </c>
      <c r="W24" s="2" t="s">
        <v>63</v>
      </c>
      <c r="X24" s="9" t="s">
        <v>400</v>
      </c>
      <c r="Y24" s="66" t="s">
        <v>725</v>
      </c>
      <c r="Z24" s="7"/>
    </row>
    <row r="25" spans="1:30">
      <c r="A25" s="2" t="s">
        <v>619</v>
      </c>
      <c r="B25" s="2" t="s">
        <v>680</v>
      </c>
      <c r="C25" s="4" t="s">
        <v>705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400</v>
      </c>
      <c r="L25" s="2" t="s">
        <v>735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742</v>
      </c>
      <c r="V25" s="2" t="s">
        <v>472</v>
      </c>
      <c r="W25" s="2" t="s">
        <v>63</v>
      </c>
      <c r="X25" s="9" t="s">
        <v>400</v>
      </c>
      <c r="Y25" s="66" t="s">
        <v>728</v>
      </c>
      <c r="Z25" s="7"/>
    </row>
    <row r="26" spans="1:30">
      <c r="A26" s="2" t="s">
        <v>417</v>
      </c>
      <c r="B26" s="2" t="s">
        <v>680</v>
      </c>
      <c r="C26" s="4" t="s">
        <v>706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400</v>
      </c>
      <c r="L26" s="2" t="s">
        <v>735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630</v>
      </c>
      <c r="U26" s="2" t="s">
        <v>63</v>
      </c>
      <c r="V26" s="2" t="s">
        <v>63</v>
      </c>
      <c r="W26" s="2" t="s">
        <v>63</v>
      </c>
      <c r="X26" s="9" t="s">
        <v>400</v>
      </c>
      <c r="Y26" s="66" t="s">
        <v>728</v>
      </c>
      <c r="Z26" s="7"/>
    </row>
    <row r="27" spans="1:30">
      <c r="A27" s="2" t="s">
        <v>669</v>
      </c>
      <c r="B27" s="2" t="s">
        <v>52</v>
      </c>
      <c r="C27" s="5" t="s">
        <v>608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623</v>
      </c>
      <c r="H27" s="11">
        <f t="shared" si="0"/>
        <v>9</v>
      </c>
      <c r="K27" s="2" t="s">
        <v>78</v>
      </c>
      <c r="M27" s="11">
        <v>12</v>
      </c>
      <c r="N27" s="2" t="s">
        <v>816</v>
      </c>
      <c r="O27" s="11">
        <v>1</v>
      </c>
      <c r="P27" s="11" t="s">
        <v>155</v>
      </c>
      <c r="Q27" s="8">
        <v>1.5</v>
      </c>
      <c r="R27" s="8"/>
      <c r="S27" s="10">
        <f t="shared" si="1"/>
        <v>317.90000000000003</v>
      </c>
      <c r="T27" s="2" t="s">
        <v>631</v>
      </c>
      <c r="U27" s="2" t="s">
        <v>739</v>
      </c>
      <c r="V27" s="2" t="s">
        <v>632</v>
      </c>
      <c r="W27" s="2" t="s">
        <v>745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827</v>
      </c>
      <c r="O28" s="11">
        <v>1</v>
      </c>
      <c r="P28" s="11" t="s">
        <v>155</v>
      </c>
      <c r="Q28" s="8">
        <v>1.5</v>
      </c>
      <c r="R28" s="8"/>
      <c r="S28" s="10">
        <f t="shared" si="1"/>
        <v>520.19999999999993</v>
      </c>
      <c r="T28" s="2" t="s">
        <v>632</v>
      </c>
      <c r="U28" s="2" t="s">
        <v>743</v>
      </c>
      <c r="V28" s="2" t="s">
        <v>85</v>
      </c>
      <c r="W28" s="2" t="s">
        <v>745</v>
      </c>
      <c r="X28" s="9">
        <v>15</v>
      </c>
      <c r="Y28" s="10">
        <v>240</v>
      </c>
      <c r="Z28" s="7"/>
    </row>
    <row r="29" spans="1:30">
      <c r="A29" s="2" t="s">
        <v>670</v>
      </c>
      <c r="B29" s="2" t="s">
        <v>52</v>
      </c>
      <c r="C29" s="5" t="s">
        <v>609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155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736</v>
      </c>
      <c r="V29" s="2" t="s">
        <v>3</v>
      </c>
      <c r="W29" s="2" t="s">
        <v>745</v>
      </c>
      <c r="X29" s="9">
        <v>15</v>
      </c>
      <c r="Y29" s="10">
        <v>200</v>
      </c>
      <c r="Z29" s="7"/>
    </row>
    <row r="30" spans="1:30">
      <c r="A30" s="2" t="s">
        <v>418</v>
      </c>
      <c r="B30" s="2" t="s">
        <v>52</v>
      </c>
      <c r="C30" s="5" t="s">
        <v>610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820</v>
      </c>
      <c r="O30" s="11">
        <v>1</v>
      </c>
      <c r="P30" s="11" t="s">
        <v>155</v>
      </c>
      <c r="Q30" s="8">
        <v>1.5</v>
      </c>
      <c r="R30" s="8"/>
      <c r="S30" s="10">
        <f t="shared" si="1"/>
        <v>274.55</v>
      </c>
      <c r="T30" s="2" t="s">
        <v>630</v>
      </c>
      <c r="U30" s="2" t="s">
        <v>742</v>
      </c>
      <c r="V30" s="2" t="s">
        <v>82</v>
      </c>
      <c r="W30" s="2" t="s">
        <v>745</v>
      </c>
      <c r="X30" s="9">
        <v>15</v>
      </c>
      <c r="Y30" s="10">
        <v>210</v>
      </c>
      <c r="Z30" s="7"/>
    </row>
    <row r="31" spans="1:30">
      <c r="A31" s="2" t="s">
        <v>671</v>
      </c>
      <c r="B31" s="2" t="s">
        <v>52</v>
      </c>
      <c r="C31" s="5" t="s">
        <v>611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155</v>
      </c>
      <c r="Q31" s="8">
        <v>1.5</v>
      </c>
      <c r="R31" s="8"/>
      <c r="S31" s="10">
        <f t="shared" si="1"/>
        <v>346.8</v>
      </c>
      <c r="T31" s="2" t="s">
        <v>630</v>
      </c>
      <c r="U31" s="2" t="s">
        <v>738</v>
      </c>
      <c r="V31" s="2" t="s">
        <v>630</v>
      </c>
      <c r="W31" s="2" t="s">
        <v>745</v>
      </c>
      <c r="X31" s="9">
        <v>15</v>
      </c>
      <c r="Y31" s="10">
        <v>190</v>
      </c>
      <c r="Z31" s="7"/>
    </row>
    <row r="32" spans="1:30">
      <c r="A32" s="2" t="s">
        <v>419</v>
      </c>
      <c r="B32" s="2" t="s">
        <v>52</v>
      </c>
      <c r="C32" s="5" t="s">
        <v>612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624</v>
      </c>
      <c r="H32" s="11">
        <f t="shared" si="0"/>
        <v>30</v>
      </c>
      <c r="K32" s="2" t="s">
        <v>78</v>
      </c>
      <c r="M32" s="11">
        <v>12</v>
      </c>
      <c r="N32" s="2" t="s">
        <v>817</v>
      </c>
      <c r="O32" s="11">
        <v>1</v>
      </c>
      <c r="P32" s="11" t="s">
        <v>155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745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696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722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155</v>
      </c>
      <c r="Q33" s="8">
        <v>2</v>
      </c>
      <c r="R33" s="8"/>
      <c r="S33" s="10">
        <f t="shared" si="1"/>
        <v>217.60000000000002</v>
      </c>
      <c r="T33" s="2" t="s">
        <v>632</v>
      </c>
      <c r="U33" s="2" t="s">
        <v>736</v>
      </c>
      <c r="V33" s="2" t="s">
        <v>82</v>
      </c>
      <c r="W33" s="2" t="s">
        <v>747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672</v>
      </c>
      <c r="B34" s="2" t="s">
        <v>53</v>
      </c>
      <c r="C34" s="5" t="s">
        <v>697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818</v>
      </c>
      <c r="O34" s="11">
        <v>1</v>
      </c>
      <c r="P34" s="11" t="s">
        <v>155</v>
      </c>
      <c r="Q34" s="8">
        <v>2</v>
      </c>
      <c r="R34" s="8"/>
      <c r="S34" s="10">
        <f t="shared" si="1"/>
        <v>299.20000000000005</v>
      </c>
      <c r="T34" s="2" t="s">
        <v>630</v>
      </c>
      <c r="U34" s="2" t="s">
        <v>739</v>
      </c>
      <c r="V34" s="2" t="s">
        <v>2</v>
      </c>
      <c r="W34" s="2" t="s">
        <v>747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673</v>
      </c>
      <c r="B35" s="2" t="s">
        <v>53</v>
      </c>
      <c r="C35" s="5" t="s">
        <v>698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821</v>
      </c>
      <c r="O35" s="11">
        <v>1</v>
      </c>
      <c r="P35" s="11" t="s">
        <v>155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736</v>
      </c>
      <c r="V35" s="2" t="s">
        <v>631</v>
      </c>
      <c r="W35" s="2" t="s">
        <v>747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674</v>
      </c>
      <c r="B36" s="2" t="s">
        <v>53</v>
      </c>
      <c r="C36" s="5" t="s">
        <v>699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823</v>
      </c>
      <c r="O36" s="11">
        <v>1</v>
      </c>
      <c r="P36" s="11" t="s">
        <v>155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738</v>
      </c>
      <c r="V36" s="2" t="s">
        <v>79</v>
      </c>
      <c r="W36" s="2" t="s">
        <v>747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675</v>
      </c>
      <c r="B37" s="2" t="s">
        <v>53</v>
      </c>
      <c r="C37" s="5" t="s">
        <v>700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375</v>
      </c>
      <c r="H37" s="11">
        <f t="shared" si="0"/>
        <v>18</v>
      </c>
      <c r="K37" s="2" t="s">
        <v>63</v>
      </c>
      <c r="M37" s="11">
        <f>M31</f>
        <v>12</v>
      </c>
      <c r="N37" s="2" t="s">
        <v>819</v>
      </c>
      <c r="O37" s="11">
        <v>1</v>
      </c>
      <c r="P37" s="11" t="s">
        <v>155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742</v>
      </c>
      <c r="V37" s="2" t="s">
        <v>472</v>
      </c>
      <c r="W37" s="2" t="s">
        <v>747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680</v>
      </c>
      <c r="C38" s="5" t="s">
        <v>707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400</v>
      </c>
      <c r="L38" s="2" t="s">
        <v>735</v>
      </c>
      <c r="M38" s="11">
        <f>M33</f>
        <v>12</v>
      </c>
      <c r="N38" s="2" t="s">
        <v>822</v>
      </c>
      <c r="O38" s="11">
        <v>1</v>
      </c>
      <c r="P38" s="11" t="s">
        <v>155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738</v>
      </c>
      <c r="V38" s="2" t="s">
        <v>79</v>
      </c>
      <c r="W38" s="2" t="s">
        <v>739</v>
      </c>
      <c r="X38" s="9">
        <v>15</v>
      </c>
      <c r="Y38" s="67">
        <v>200</v>
      </c>
      <c r="Z38" s="7"/>
      <c r="AC38" s="2"/>
    </row>
    <row r="39" spans="1:29">
      <c r="A39" s="2" t="s">
        <v>676</v>
      </c>
      <c r="B39" s="2" t="s">
        <v>680</v>
      </c>
      <c r="C39" s="5" t="s">
        <v>708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400</v>
      </c>
      <c r="L39" s="2" t="s">
        <v>735</v>
      </c>
      <c r="M39" s="11">
        <f>M34</f>
        <v>12</v>
      </c>
      <c r="O39" s="11">
        <v>1</v>
      </c>
      <c r="P39" s="11" t="s">
        <v>155</v>
      </c>
      <c r="Q39" s="8">
        <v>1</v>
      </c>
      <c r="R39" s="8"/>
      <c r="S39" s="10">
        <f t="shared" si="1"/>
        <v>205.70000000000005</v>
      </c>
      <c r="T39" s="2" t="s">
        <v>720</v>
      </c>
      <c r="U39" s="2" t="s">
        <v>739</v>
      </c>
      <c r="V39" s="2" t="s">
        <v>104</v>
      </c>
      <c r="W39" s="2" t="s">
        <v>739</v>
      </c>
      <c r="X39" s="9">
        <v>15</v>
      </c>
      <c r="Y39" s="67">
        <v>170</v>
      </c>
      <c r="Z39" s="7"/>
      <c r="AC39" s="2"/>
    </row>
    <row r="40" spans="1:29">
      <c r="A40" s="2" t="s">
        <v>677</v>
      </c>
      <c r="B40" s="2" t="s">
        <v>680</v>
      </c>
      <c r="C40" s="5" t="s">
        <v>709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400</v>
      </c>
      <c r="L40" s="2" t="s">
        <v>735</v>
      </c>
      <c r="M40" s="11">
        <f>M35</f>
        <v>12</v>
      </c>
      <c r="N40" s="2" t="s">
        <v>824</v>
      </c>
      <c r="O40" s="11">
        <v>1</v>
      </c>
      <c r="P40" s="11" t="s">
        <v>155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739</v>
      </c>
      <c r="X40" s="9">
        <v>15</v>
      </c>
      <c r="Y40" s="67">
        <v>160</v>
      </c>
      <c r="Z40" s="7"/>
      <c r="AC40" s="2"/>
    </row>
    <row r="41" spans="1:29">
      <c r="A41" s="2" t="s">
        <v>678</v>
      </c>
      <c r="B41" s="2" t="s">
        <v>680</v>
      </c>
      <c r="C41" s="5" t="s">
        <v>710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400</v>
      </c>
      <c r="L41" s="2" t="s">
        <v>735</v>
      </c>
      <c r="M41" s="11">
        <f>M36</f>
        <v>12</v>
      </c>
      <c r="N41" s="2" t="s">
        <v>825</v>
      </c>
      <c r="O41" s="11">
        <v>1</v>
      </c>
      <c r="P41" s="11" t="s">
        <v>155</v>
      </c>
      <c r="Q41" s="8">
        <v>1</v>
      </c>
      <c r="R41" s="8"/>
      <c r="S41" s="10">
        <f t="shared" si="1"/>
        <v>177.65</v>
      </c>
      <c r="T41" s="2" t="s">
        <v>630</v>
      </c>
      <c r="U41" s="2" t="s">
        <v>742</v>
      </c>
      <c r="V41" s="2" t="s">
        <v>743</v>
      </c>
      <c r="W41" s="2" t="s">
        <v>739</v>
      </c>
      <c r="X41" s="9">
        <v>15</v>
      </c>
      <c r="Y41" s="67">
        <v>190</v>
      </c>
      <c r="Z41" s="7"/>
      <c r="AC41" s="2"/>
    </row>
    <row r="42" spans="1:29">
      <c r="A42" s="2" t="s">
        <v>679</v>
      </c>
      <c r="B42" s="2" t="s">
        <v>680</v>
      </c>
      <c r="C42" s="5" t="s">
        <v>711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400</v>
      </c>
      <c r="L42" s="2" t="s">
        <v>735</v>
      </c>
      <c r="M42" s="11">
        <f>M37</f>
        <v>12</v>
      </c>
      <c r="N42" s="2" t="s">
        <v>826</v>
      </c>
      <c r="O42" s="11">
        <v>1</v>
      </c>
      <c r="P42" s="11" t="s">
        <v>155</v>
      </c>
      <c r="Q42" s="8">
        <v>1</v>
      </c>
      <c r="R42" s="8"/>
      <c r="S42" s="10">
        <f t="shared" si="1"/>
        <v>196.35000000000002</v>
      </c>
      <c r="T42" s="2" t="s">
        <v>632</v>
      </c>
      <c r="U42" s="2" t="s">
        <v>740</v>
      </c>
      <c r="V42" s="2" t="s">
        <v>105</v>
      </c>
      <c r="W42" s="2" t="s">
        <v>739</v>
      </c>
      <c r="X42" s="9">
        <v>15</v>
      </c>
      <c r="Y42" s="67">
        <v>150</v>
      </c>
      <c r="Z42" s="7"/>
      <c r="AC42" s="2"/>
    </row>
    <row r="43" spans="1:29">
      <c r="A43" s="2" t="s">
        <v>451</v>
      </c>
      <c r="B43" s="2" t="s">
        <v>52</v>
      </c>
      <c r="C43" s="6" t="s">
        <v>613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625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156</v>
      </c>
      <c r="Q43" s="8">
        <v>1.5</v>
      </c>
      <c r="R43" s="8"/>
      <c r="S43" s="10">
        <f t="shared" si="1"/>
        <v>275.40000000000003</v>
      </c>
      <c r="T43" s="2" t="s">
        <v>630</v>
      </c>
      <c r="U43" s="2" t="s">
        <v>105</v>
      </c>
      <c r="V43" s="2" t="s">
        <v>2</v>
      </c>
      <c r="W43" s="2" t="s">
        <v>743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452</v>
      </c>
      <c r="B44" s="2" t="s">
        <v>52</v>
      </c>
      <c r="C44" s="6" t="s">
        <v>614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626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156</v>
      </c>
      <c r="Q44" s="8">
        <v>1.5</v>
      </c>
      <c r="R44" s="8"/>
      <c r="S44" s="10">
        <f t="shared" si="1"/>
        <v>367.2</v>
      </c>
      <c r="T44" s="2" t="s">
        <v>630</v>
      </c>
      <c r="U44" s="2" t="s">
        <v>738</v>
      </c>
      <c r="V44" s="2" t="s">
        <v>102</v>
      </c>
      <c r="W44" s="2" t="s">
        <v>743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453</v>
      </c>
      <c r="B45" s="2" t="s">
        <v>52</v>
      </c>
      <c r="C45" s="6" t="s">
        <v>615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627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156</v>
      </c>
      <c r="Q45" s="8">
        <v>1.5</v>
      </c>
      <c r="R45" s="8"/>
      <c r="S45" s="10">
        <f t="shared" si="1"/>
        <v>183.6</v>
      </c>
      <c r="T45" s="2" t="s">
        <v>631</v>
      </c>
      <c r="U45" s="2" t="s">
        <v>632</v>
      </c>
      <c r="V45" s="2" t="s">
        <v>81</v>
      </c>
      <c r="W45" s="2" t="s">
        <v>743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454</v>
      </c>
      <c r="B46" s="2" t="s">
        <v>52</v>
      </c>
      <c r="C46" s="6" t="s">
        <v>660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723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156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739</v>
      </c>
      <c r="V46" s="2" t="s">
        <v>63</v>
      </c>
      <c r="W46" s="2" t="s">
        <v>743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455</v>
      </c>
      <c r="B47" s="2" t="s">
        <v>52</v>
      </c>
      <c r="C47" s="6" t="s">
        <v>661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628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156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743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760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766</v>
      </c>
      <c r="H48" s="11">
        <f t="shared" si="0"/>
        <v>3.6</v>
      </c>
      <c r="K48" s="2" t="s">
        <v>78</v>
      </c>
      <c r="M48" s="11">
        <v>20</v>
      </c>
      <c r="N48" s="2" t="s">
        <v>753</v>
      </c>
      <c r="O48" s="11">
        <v>1</v>
      </c>
      <c r="P48" s="11" t="s">
        <v>156</v>
      </c>
      <c r="Q48" s="8">
        <v>1.5</v>
      </c>
      <c r="R48" s="8"/>
      <c r="S48" s="10">
        <f>U48*$U$1*W48</f>
        <v>397.8</v>
      </c>
      <c r="T48" s="2" t="s">
        <v>630</v>
      </c>
      <c r="U48" s="2" t="s">
        <v>741</v>
      </c>
      <c r="V48" s="2" t="s">
        <v>630</v>
      </c>
      <c r="W48" s="2" t="s">
        <v>743</v>
      </c>
      <c r="X48" s="9">
        <v>18</v>
      </c>
      <c r="Y48" s="67">
        <v>100</v>
      </c>
      <c r="Z48" s="7"/>
      <c r="AC48" s="2"/>
    </row>
    <row r="49" spans="1:29">
      <c r="A49" s="2" t="s">
        <v>712</v>
      </c>
      <c r="B49" s="2" t="s">
        <v>53</v>
      </c>
      <c r="C49" s="6" t="s">
        <v>681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625</v>
      </c>
      <c r="H49" s="11">
        <f t="shared" si="0"/>
        <v>45</v>
      </c>
      <c r="K49" s="2" t="s">
        <v>63</v>
      </c>
      <c r="M49" s="11">
        <f>M43</f>
        <v>17</v>
      </c>
      <c r="N49" s="2" t="s">
        <v>754</v>
      </c>
      <c r="O49" s="11">
        <v>1</v>
      </c>
      <c r="P49" s="11" t="s">
        <v>156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745</v>
      </c>
      <c r="X49" s="9">
        <v>15</v>
      </c>
      <c r="Y49" s="67">
        <v>210</v>
      </c>
      <c r="Z49" s="7"/>
      <c r="AC49" s="2" t="s">
        <v>731</v>
      </c>
    </row>
    <row r="50" spans="1:29">
      <c r="A50" s="2" t="s">
        <v>713</v>
      </c>
      <c r="B50" s="2" t="s">
        <v>53</v>
      </c>
      <c r="C50" s="6" t="s">
        <v>682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626</v>
      </c>
      <c r="H50" s="11">
        <f t="shared" si="0"/>
        <v>7.5</v>
      </c>
      <c r="K50" s="2" t="s">
        <v>63</v>
      </c>
      <c r="M50" s="11">
        <f>M44</f>
        <v>17</v>
      </c>
      <c r="N50" s="2" t="s">
        <v>755</v>
      </c>
      <c r="O50" s="11">
        <v>1</v>
      </c>
      <c r="P50" s="11" t="s">
        <v>156</v>
      </c>
      <c r="Q50" s="8">
        <v>2</v>
      </c>
      <c r="R50" s="8"/>
      <c r="S50" s="10">
        <f t="shared" si="1"/>
        <v>346.8</v>
      </c>
      <c r="T50" s="2" t="s">
        <v>632</v>
      </c>
      <c r="U50" s="2" t="str">
        <f t="shared" si="5"/>
        <v>1,2</v>
      </c>
      <c r="V50" s="2" t="str">
        <f t="shared" si="5"/>
        <v>0,5</v>
      </c>
      <c r="W50" s="2" t="s">
        <v>745</v>
      </c>
      <c r="X50" s="9">
        <v>15</v>
      </c>
      <c r="Y50" s="67">
        <v>270</v>
      </c>
      <c r="Z50" s="7"/>
      <c r="AC50" s="2" t="s">
        <v>730</v>
      </c>
    </row>
    <row r="51" spans="1:29">
      <c r="A51" s="2" t="s">
        <v>714</v>
      </c>
      <c r="B51" s="2" t="s">
        <v>53</v>
      </c>
      <c r="C51" s="6" t="s">
        <v>683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627</v>
      </c>
      <c r="H51" s="11">
        <f t="shared" si="0"/>
        <v>30</v>
      </c>
      <c r="K51" s="2" t="s">
        <v>63</v>
      </c>
      <c r="M51" s="11">
        <f>M45</f>
        <v>17</v>
      </c>
      <c r="N51" s="2" t="s">
        <v>756</v>
      </c>
      <c r="O51" s="11">
        <v>1</v>
      </c>
      <c r="P51" s="11" t="s">
        <v>156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745</v>
      </c>
      <c r="X51" s="9">
        <v>15</v>
      </c>
      <c r="Y51" s="67">
        <v>240</v>
      </c>
      <c r="Z51" s="7"/>
      <c r="AC51" s="2" t="s">
        <v>732</v>
      </c>
    </row>
    <row r="52" spans="1:29">
      <c r="A52" s="2" t="s">
        <v>715</v>
      </c>
      <c r="B52" s="2" t="s">
        <v>53</v>
      </c>
      <c r="C52" s="6" t="s">
        <v>684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724</v>
      </c>
      <c r="H52" s="11">
        <f t="shared" si="0"/>
        <v>15</v>
      </c>
      <c r="K52" s="2" t="s">
        <v>63</v>
      </c>
      <c r="M52" s="11">
        <f>M46</f>
        <v>17</v>
      </c>
      <c r="N52" s="2" t="s">
        <v>757</v>
      </c>
      <c r="O52" s="11">
        <v>1</v>
      </c>
      <c r="P52" s="11" t="s">
        <v>156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745</v>
      </c>
      <c r="X52" s="9">
        <v>15</v>
      </c>
      <c r="Y52" s="67">
        <v>220</v>
      </c>
      <c r="Z52" s="7"/>
      <c r="AC52" s="2" t="s">
        <v>733</v>
      </c>
    </row>
    <row r="53" spans="1:29">
      <c r="A53" s="2" t="s">
        <v>75</v>
      </c>
      <c r="B53" s="2" t="s">
        <v>53</v>
      </c>
      <c r="C53" s="6" t="s">
        <v>685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628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156</v>
      </c>
      <c r="Q53" s="8">
        <v>2</v>
      </c>
      <c r="R53" s="8"/>
      <c r="S53" s="10">
        <f t="shared" si="1"/>
        <v>578</v>
      </c>
      <c r="T53" s="2" t="s">
        <v>630</v>
      </c>
      <c r="U53" s="2" t="str">
        <f t="shared" si="5"/>
        <v>2</v>
      </c>
      <c r="V53" s="2" t="str">
        <f t="shared" si="5"/>
        <v>0,9</v>
      </c>
      <c r="W53" s="2" t="s">
        <v>745</v>
      </c>
      <c r="X53" s="9">
        <v>15</v>
      </c>
      <c r="Y53" s="67">
        <v>310</v>
      </c>
      <c r="Z53" s="7"/>
      <c r="AC53" s="2" t="s">
        <v>734</v>
      </c>
    </row>
    <row r="54" spans="1:29">
      <c r="A54" s="2" t="s">
        <v>716</v>
      </c>
      <c r="B54" s="2" t="s">
        <v>53</v>
      </c>
      <c r="C54" s="6" t="s">
        <v>761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766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156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745</v>
      </c>
      <c r="X54" s="9">
        <v>15</v>
      </c>
      <c r="Y54" s="67">
        <v>100</v>
      </c>
      <c r="Z54" s="7"/>
      <c r="AC54" s="2"/>
    </row>
    <row r="55" spans="1:29">
      <c r="A55" s="2" t="s">
        <v>717</v>
      </c>
      <c r="B55" s="2" t="s">
        <v>680</v>
      </c>
      <c r="C55" s="6" t="s">
        <v>686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625</v>
      </c>
      <c r="H55" s="11">
        <f t="shared" si="0"/>
        <v>54</v>
      </c>
      <c r="K55" s="2" t="s">
        <v>400</v>
      </c>
      <c r="L55" s="2" t="s">
        <v>748</v>
      </c>
      <c r="M55" s="11">
        <f t="shared" ref="M55:M67" si="6">M49</f>
        <v>17</v>
      </c>
      <c r="N55" s="2">
        <v>1300</v>
      </c>
      <c r="O55" s="11">
        <v>1</v>
      </c>
      <c r="P55" s="11" t="s">
        <v>156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738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718</v>
      </c>
      <c r="B56" s="2" t="s">
        <v>680</v>
      </c>
      <c r="C56" s="6" t="s">
        <v>687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626</v>
      </c>
      <c r="H56" s="11">
        <f t="shared" si="0"/>
        <v>9</v>
      </c>
      <c r="K56" s="2" t="s">
        <v>400</v>
      </c>
      <c r="L56" s="2" t="s">
        <v>749</v>
      </c>
      <c r="M56" s="11">
        <f t="shared" si="6"/>
        <v>17</v>
      </c>
      <c r="N56" s="2">
        <v>1400</v>
      </c>
      <c r="O56" s="11">
        <v>1</v>
      </c>
      <c r="P56" s="11" t="s">
        <v>156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738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719</v>
      </c>
      <c r="B57" s="2" t="s">
        <v>680</v>
      </c>
      <c r="C57" s="6" t="s">
        <v>688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627</v>
      </c>
      <c r="H57" s="11">
        <f t="shared" si="0"/>
        <v>36</v>
      </c>
      <c r="K57" s="2" t="s">
        <v>400</v>
      </c>
      <c r="L57" s="2" t="s">
        <v>750</v>
      </c>
      <c r="M57" s="11">
        <f t="shared" si="6"/>
        <v>17</v>
      </c>
      <c r="N57" s="2">
        <v>1500</v>
      </c>
      <c r="O57" s="11">
        <v>1</v>
      </c>
      <c r="P57" s="11" t="s">
        <v>156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738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680</v>
      </c>
      <c r="C58" s="6" t="s">
        <v>689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724</v>
      </c>
      <c r="H58" s="11">
        <f t="shared" si="0"/>
        <v>18</v>
      </c>
      <c r="K58" s="2" t="s">
        <v>400</v>
      </c>
      <c r="L58" s="2" t="s">
        <v>751</v>
      </c>
      <c r="M58" s="11">
        <f t="shared" si="6"/>
        <v>17</v>
      </c>
      <c r="N58" s="2" t="s">
        <v>763</v>
      </c>
      <c r="O58" s="11">
        <v>1</v>
      </c>
      <c r="P58" s="11" t="s">
        <v>156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738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758</v>
      </c>
      <c r="B59" s="2" t="s">
        <v>680</v>
      </c>
      <c r="C59" s="6" t="s">
        <v>690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628</v>
      </c>
      <c r="H59" s="11">
        <f t="shared" si="0"/>
        <v>16.2</v>
      </c>
      <c r="K59" s="2" t="s">
        <v>400</v>
      </c>
      <c r="L59" s="2" t="s">
        <v>752</v>
      </c>
      <c r="M59" s="11">
        <f t="shared" si="6"/>
        <v>20</v>
      </c>
      <c r="N59" s="2" t="s">
        <v>764</v>
      </c>
      <c r="O59" s="11">
        <v>1</v>
      </c>
      <c r="P59" s="11" t="s">
        <v>156</v>
      </c>
      <c r="Q59" s="8">
        <v>1</v>
      </c>
      <c r="R59" s="8"/>
      <c r="S59" s="10">
        <f t="shared" si="1"/>
        <v>408</v>
      </c>
      <c r="T59" s="2" t="s">
        <v>630</v>
      </c>
      <c r="U59" s="2" t="str">
        <f t="shared" si="5"/>
        <v>2</v>
      </c>
      <c r="V59" s="2" t="str">
        <f t="shared" si="5"/>
        <v>0,9</v>
      </c>
      <c r="W59" s="2" t="s">
        <v>738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759</v>
      </c>
      <c r="B60" s="2" t="s">
        <v>680</v>
      </c>
      <c r="C60" s="6" t="s">
        <v>762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766</v>
      </c>
      <c r="H60" s="11">
        <f t="shared" ref="H60:H66" si="9">V60*X60</f>
        <v>3.6</v>
      </c>
      <c r="K60" s="2" t="s">
        <v>400</v>
      </c>
      <c r="L60" s="2" t="s">
        <v>735</v>
      </c>
      <c r="M60" s="11">
        <f t="shared" si="6"/>
        <v>20</v>
      </c>
      <c r="N60" s="2" t="s">
        <v>765</v>
      </c>
      <c r="O60" s="11">
        <v>1</v>
      </c>
      <c r="P60" s="11" t="s">
        <v>156</v>
      </c>
      <c r="Q60" s="8">
        <v>1</v>
      </c>
      <c r="R60" s="8"/>
      <c r="S60" s="10">
        <f t="shared" ref="S60:S66" si="10">U60*$U$1*W60</f>
        <v>265.2</v>
      </c>
      <c r="T60" s="2" t="s">
        <v>630</v>
      </c>
      <c r="U60" s="2" t="str">
        <f t="shared" si="5"/>
        <v>1,3</v>
      </c>
      <c r="V60" s="2" t="str">
        <f t="shared" si="5"/>
        <v>0,2</v>
      </c>
      <c r="W60" s="2" t="s">
        <v>738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770</v>
      </c>
      <c r="B61" s="2" t="s">
        <v>53</v>
      </c>
      <c r="C61" s="68" t="s">
        <v>785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626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806</v>
      </c>
      <c r="O61" s="11">
        <v>1</v>
      </c>
      <c r="P61" s="11" t="s">
        <v>769</v>
      </c>
      <c r="Q61" s="8">
        <v>2</v>
      </c>
      <c r="R61" s="8"/>
      <c r="S61" s="10">
        <f t="shared" si="10"/>
        <v>244.8</v>
      </c>
      <c r="T61" s="2" t="s">
        <v>630</v>
      </c>
      <c r="U61" s="2" t="s">
        <v>736</v>
      </c>
      <c r="V61" s="2" t="s">
        <v>82</v>
      </c>
      <c r="W61" s="2" t="s">
        <v>743</v>
      </c>
      <c r="X61" s="9">
        <v>10</v>
      </c>
      <c r="Y61" s="67">
        <v>999</v>
      </c>
      <c r="Z61" s="7"/>
      <c r="AC61" s="2" t="s">
        <v>731</v>
      </c>
    </row>
    <row r="62" spans="1:29">
      <c r="A62" s="2" t="s">
        <v>771</v>
      </c>
      <c r="B62" s="2" t="s">
        <v>52</v>
      </c>
      <c r="C62" s="68" t="s">
        <v>784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777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807</v>
      </c>
      <c r="O62" s="11">
        <v>1</v>
      </c>
      <c r="P62" s="11" t="s">
        <v>769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746</v>
      </c>
      <c r="V62" s="2" t="s">
        <v>736</v>
      </c>
      <c r="W62" s="2" t="s">
        <v>81</v>
      </c>
      <c r="X62" s="9">
        <v>10</v>
      </c>
      <c r="Y62" s="7"/>
      <c r="Z62" s="7"/>
    </row>
    <row r="63" spans="1:29">
      <c r="A63" s="2" t="s">
        <v>471</v>
      </c>
      <c r="B63" s="2" t="s">
        <v>53</v>
      </c>
      <c r="C63" s="68" t="s">
        <v>783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778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808</v>
      </c>
      <c r="O63" s="11">
        <v>1</v>
      </c>
      <c r="P63" s="11" t="s">
        <v>769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743</v>
      </c>
      <c r="X63" s="9">
        <v>10</v>
      </c>
      <c r="Y63" s="7"/>
      <c r="Z63" s="7"/>
    </row>
    <row r="64" spans="1:29">
      <c r="A64" s="2" t="s">
        <v>772</v>
      </c>
      <c r="B64" s="2" t="s">
        <v>52</v>
      </c>
      <c r="C64" s="68" t="s">
        <v>782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809</v>
      </c>
      <c r="O64" s="11">
        <v>1</v>
      </c>
      <c r="P64" s="11" t="s">
        <v>769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773</v>
      </c>
      <c r="B65" s="2" t="s">
        <v>680</v>
      </c>
      <c r="C65" s="68" t="s">
        <v>781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388</v>
      </c>
      <c r="H65" s="11">
        <f t="shared" si="9"/>
        <v>5</v>
      </c>
      <c r="K65" s="2" t="s">
        <v>400</v>
      </c>
      <c r="L65" s="2" t="s">
        <v>775</v>
      </c>
      <c r="M65" s="11">
        <f t="shared" si="6"/>
        <v>20</v>
      </c>
      <c r="N65" s="2" t="s">
        <v>810</v>
      </c>
      <c r="O65" s="11">
        <v>1</v>
      </c>
      <c r="P65" s="11" t="s">
        <v>769</v>
      </c>
      <c r="Q65" s="8">
        <v>1</v>
      </c>
      <c r="R65" s="8"/>
      <c r="S65" s="10">
        <f t="shared" si="10"/>
        <v>285.59999999999997</v>
      </c>
      <c r="T65" s="2" t="s">
        <v>630</v>
      </c>
      <c r="U65" s="2" t="s">
        <v>738</v>
      </c>
      <c r="V65" s="2" t="s">
        <v>102</v>
      </c>
      <c r="W65" s="2" t="s">
        <v>815</v>
      </c>
      <c r="X65" s="9">
        <v>10</v>
      </c>
      <c r="Y65" s="7"/>
      <c r="Z65" s="7"/>
    </row>
    <row r="66" spans="1:26">
      <c r="A66" s="2" t="s">
        <v>774</v>
      </c>
      <c r="B66" s="2" t="s">
        <v>680</v>
      </c>
      <c r="C66" s="68" t="s">
        <v>780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779</v>
      </c>
      <c r="H66" s="11">
        <f t="shared" si="9"/>
        <v>15</v>
      </c>
      <c r="K66" s="2" t="s">
        <v>400</v>
      </c>
      <c r="L66" s="2" t="s">
        <v>776</v>
      </c>
      <c r="M66" s="11">
        <f t="shared" si="6"/>
        <v>20</v>
      </c>
      <c r="N66" s="2" t="s">
        <v>811</v>
      </c>
      <c r="O66" s="11">
        <v>1</v>
      </c>
      <c r="P66" s="11" t="s">
        <v>769</v>
      </c>
      <c r="Q66" s="8">
        <v>1</v>
      </c>
      <c r="R66" s="8"/>
      <c r="S66" s="10">
        <f t="shared" si="10"/>
        <v>249.89999999999998</v>
      </c>
      <c r="T66" s="2" t="s">
        <v>736</v>
      </c>
      <c r="U66" s="2" t="s">
        <v>740</v>
      </c>
      <c r="V66" s="2" t="s">
        <v>472</v>
      </c>
      <c r="W66" s="2" t="s">
        <v>815</v>
      </c>
      <c r="X66" s="9">
        <v>10</v>
      </c>
      <c r="Y66" s="7"/>
      <c r="Z66" s="7"/>
    </row>
    <row r="67" spans="1:26">
      <c r="A67" s="2" t="s">
        <v>812</v>
      </c>
      <c r="B67" s="2" t="s">
        <v>138</v>
      </c>
      <c r="C67" t="s">
        <v>813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779</v>
      </c>
      <c r="H67" s="11">
        <f t="shared" ref="H67" si="13">V67*X67</f>
        <v>15</v>
      </c>
      <c r="J67" s="2" t="s">
        <v>2</v>
      </c>
      <c r="K67" s="2" t="s">
        <v>400</v>
      </c>
      <c r="L67" s="2" t="s">
        <v>814</v>
      </c>
      <c r="M67" s="11">
        <f t="shared" si="6"/>
        <v>17</v>
      </c>
      <c r="N67" s="2"/>
      <c r="O67" s="11">
        <v>1</v>
      </c>
      <c r="P67" s="11" t="s">
        <v>769</v>
      </c>
      <c r="Q67" s="8">
        <v>1</v>
      </c>
      <c r="R67" s="8"/>
      <c r="S67" s="10">
        <f t="shared" ref="S67" si="14">U67*$U$1*W67</f>
        <v>299.20000000000005</v>
      </c>
      <c r="T67" s="2" t="s">
        <v>736</v>
      </c>
      <c r="U67" s="2" t="s">
        <v>747</v>
      </c>
      <c r="V67" s="2" t="s">
        <v>472</v>
      </c>
      <c r="W67" s="2" t="s">
        <v>739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328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375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327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376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318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377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319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378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320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379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321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323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322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324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325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326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329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330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400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417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472</v>
      </c>
      <c r="V102" s="3" t="s">
        <v>110</v>
      </c>
      <c r="X102" s="3" t="s">
        <v>471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397</v>
      </c>
      <c r="AO104" s="3" t="s">
        <v>398</v>
      </c>
    </row>
    <row r="105" spans="1:41">
      <c r="A105" s="2">
        <v>27</v>
      </c>
      <c r="B105" s="2" t="s">
        <v>48</v>
      </c>
      <c r="C105" s="4" t="s">
        <v>331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418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447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400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401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402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476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411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403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404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477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405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406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478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371</v>
      </c>
      <c r="H115" s="11">
        <f t="shared" si="23"/>
        <v>0</v>
      </c>
      <c r="I115" s="2" t="s">
        <v>411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407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408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332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372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409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410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333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451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399</v>
      </c>
      <c r="K123" s="2" t="s">
        <v>452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453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454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335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400</v>
      </c>
      <c r="K129" s="2" t="s">
        <v>455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336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380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337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339</v>
      </c>
      <c r="C139" s="4" t="s">
        <v>340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339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341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339</v>
      </c>
      <c r="C141" s="4" t="s">
        <v>342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339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341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339</v>
      </c>
      <c r="C143" s="4" t="s">
        <v>343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339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341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339</v>
      </c>
      <c r="C145" s="4" t="s">
        <v>344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383</v>
      </c>
      <c r="H145" s="11">
        <f t="shared" si="28"/>
        <v>0</v>
      </c>
      <c r="K145" s="2" t="s">
        <v>6</v>
      </c>
      <c r="L145" s="2" t="s">
        <v>339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341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383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339</v>
      </c>
      <c r="C147" s="4" t="s">
        <v>345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384</v>
      </c>
      <c r="H147" s="11">
        <f t="shared" si="28"/>
        <v>0</v>
      </c>
      <c r="K147" s="2" t="s">
        <v>6</v>
      </c>
      <c r="L147" s="2" t="s">
        <v>339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341</v>
      </c>
      <c r="C148" s="4"/>
      <c r="E148" s="11">
        <f t="shared" si="26"/>
        <v>0</v>
      </c>
      <c r="F148" s="11">
        <f t="shared" si="27"/>
        <v>0</v>
      </c>
      <c r="G148" s="2" t="s">
        <v>384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339</v>
      </c>
      <c r="C149" s="4" t="s">
        <v>346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385</v>
      </c>
      <c r="H149" s="11">
        <f t="shared" si="28"/>
        <v>0</v>
      </c>
      <c r="K149" s="2" t="s">
        <v>6</v>
      </c>
      <c r="L149" s="2" t="s">
        <v>339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341</v>
      </c>
      <c r="C150" s="4"/>
      <c r="E150" s="11">
        <f t="shared" si="26"/>
        <v>0</v>
      </c>
      <c r="F150" s="11">
        <f t="shared" si="27"/>
        <v>0</v>
      </c>
      <c r="G150" s="2" t="s">
        <v>385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348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387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349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388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350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351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413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414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375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415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416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353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389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352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354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355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390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390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356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357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358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359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360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361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391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362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363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392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365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378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364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393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392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366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394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367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395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368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396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396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370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376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369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483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484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156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482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449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156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485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156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512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156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486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450</v>
      </c>
      <c r="H197" s="2" t="s">
        <v>399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156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508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506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156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507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492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156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156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515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156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516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156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316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317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156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487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488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156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489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490</v>
      </c>
      <c r="H205" s="11">
        <v>0</v>
      </c>
      <c r="I205" s="2" t="s">
        <v>491</v>
      </c>
      <c r="K205" s="2" t="s">
        <v>6</v>
      </c>
      <c r="L205" s="2" t="s">
        <v>517</v>
      </c>
      <c r="M205" s="11" t="e">
        <f t="shared" si="40"/>
        <v>#VALUE!</v>
      </c>
      <c r="N205" s="11">
        <v>2</v>
      </c>
      <c r="O205" s="11">
        <v>4</v>
      </c>
      <c r="P205" s="11" t="s">
        <v>156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156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509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514</v>
      </c>
      <c r="H207" s="11">
        <v>0</v>
      </c>
      <c r="I207" s="2" t="s">
        <v>452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156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156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339</v>
      </c>
      <c r="C209" s="6" t="s">
        <v>493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494</v>
      </c>
      <c r="H209" s="11">
        <v>15</v>
      </c>
      <c r="K209" s="2" t="s">
        <v>6</v>
      </c>
      <c r="L209" s="2" t="s">
        <v>339</v>
      </c>
      <c r="M209" s="11" t="e">
        <f t="shared" si="40"/>
        <v>#VALUE!</v>
      </c>
      <c r="N209" s="11">
        <v>3</v>
      </c>
      <c r="O209" s="11">
        <v>4</v>
      </c>
      <c r="P209" s="11" t="s">
        <v>156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341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494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156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339</v>
      </c>
      <c r="C211" s="6" t="s">
        <v>495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496</v>
      </c>
      <c r="H211" s="11">
        <v>100</v>
      </c>
      <c r="K211" s="2" t="s">
        <v>6</v>
      </c>
      <c r="L211" s="2" t="s">
        <v>339</v>
      </c>
      <c r="M211" s="11">
        <f t="shared" si="40"/>
        <v>0</v>
      </c>
      <c r="N211" s="11">
        <v>3</v>
      </c>
      <c r="O211" s="11">
        <v>7</v>
      </c>
      <c r="P211" s="11" t="s">
        <v>156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341</v>
      </c>
      <c r="C212" s="6"/>
      <c r="E212" s="11">
        <f t="shared" si="38"/>
        <v>0</v>
      </c>
      <c r="F212" s="11">
        <f t="shared" si="39"/>
        <v>0</v>
      </c>
      <c r="G212" s="2" t="s">
        <v>496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156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497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498</v>
      </c>
      <c r="H213" s="2" t="s">
        <v>412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156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499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500</v>
      </c>
      <c r="H214" s="2" t="s">
        <v>412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156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501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502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156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156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503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449</v>
      </c>
      <c r="H217" s="11">
        <v>25</v>
      </c>
      <c r="I217" s="2" t="s">
        <v>6</v>
      </c>
      <c r="K217" s="2" t="s">
        <v>74</v>
      </c>
      <c r="L217" s="2" t="s">
        <v>513</v>
      </c>
      <c r="M217" s="11">
        <f t="shared" si="42"/>
        <v>0</v>
      </c>
      <c r="N217" s="11">
        <v>4</v>
      </c>
      <c r="O217" s="11">
        <v>7</v>
      </c>
      <c r="P217" s="11" t="s">
        <v>156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156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505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373</v>
      </c>
      <c r="H219" s="11">
        <f t="shared" ref="H219:H225" si="43">CRIT_RATE(B219,N219,O219)</f>
        <v>0</v>
      </c>
      <c r="I219" s="2" t="s">
        <v>411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156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156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334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373</v>
      </c>
      <c r="H221" s="11">
        <f t="shared" si="43"/>
        <v>0</v>
      </c>
      <c r="I221" s="2" t="s">
        <v>63</v>
      </c>
      <c r="K221" s="2" t="s">
        <v>6</v>
      </c>
      <c r="L221" s="2" t="s">
        <v>504</v>
      </c>
      <c r="M221" s="11">
        <f t="shared" si="42"/>
        <v>0</v>
      </c>
      <c r="N221" s="11">
        <v>5</v>
      </c>
      <c r="O221" s="11">
        <v>7</v>
      </c>
      <c r="P221" s="11" t="s">
        <v>156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156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156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156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156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419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155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155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400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155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155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381</v>
      </c>
      <c r="H230" s="11">
        <f t="shared" si="45"/>
        <v>0</v>
      </c>
      <c r="I230" s="2" t="s">
        <v>412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155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155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382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155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338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374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155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339</v>
      </c>
      <c r="C234" s="5" t="s">
        <v>347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386</v>
      </c>
      <c r="H234" s="11">
        <f t="shared" si="45"/>
        <v>0</v>
      </c>
      <c r="K234" s="2" t="s">
        <v>6</v>
      </c>
      <c r="L234" s="2" t="s">
        <v>339</v>
      </c>
      <c r="M234" s="11">
        <f t="shared" si="46"/>
        <v>0</v>
      </c>
      <c r="N234" s="11">
        <v>2</v>
      </c>
      <c r="O234" s="11">
        <v>2</v>
      </c>
      <c r="P234" s="11" t="s">
        <v>155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341</v>
      </c>
      <c r="C235" s="5"/>
      <c r="E235" s="11">
        <f t="shared" si="38"/>
        <v>0</v>
      </c>
      <c r="F235" s="11">
        <f t="shared" si="39"/>
        <v>0</v>
      </c>
      <c r="G235" s="2" t="s">
        <v>386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155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339</v>
      </c>
      <c r="C236" s="5" t="s">
        <v>510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511</v>
      </c>
      <c r="H236" s="11">
        <v>10</v>
      </c>
      <c r="K236" s="2" t="s">
        <v>6</v>
      </c>
      <c r="L236" s="2" t="s">
        <v>339</v>
      </c>
      <c r="M236" s="11">
        <f t="shared" si="46"/>
        <v>0</v>
      </c>
      <c r="N236" s="11">
        <v>2</v>
      </c>
      <c r="O236" s="11">
        <v>5</v>
      </c>
      <c r="P236" s="11" t="s">
        <v>155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341</v>
      </c>
      <c r="C237" s="5"/>
      <c r="E237" s="11">
        <f>DAMAGE_BASE(B237,S237)</f>
        <v>0</v>
      </c>
      <c r="F237" s="11">
        <f>DAMAGE_RAND(B237,S237)</f>
        <v>0</v>
      </c>
      <c r="G237" s="2" t="s">
        <v>511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155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518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156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519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520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513</v>
      </c>
      <c r="M239" s="11">
        <v>1000000</v>
      </c>
      <c r="N239" s="11">
        <v>0</v>
      </c>
      <c r="O239" s="11">
        <v>1</v>
      </c>
      <c r="P239" s="11" t="s">
        <v>156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156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521</v>
      </c>
      <c r="B1" s="52" t="s">
        <v>522</v>
      </c>
      <c r="C1" s="52" t="s">
        <v>523</v>
      </c>
      <c r="D1" s="53" t="s">
        <v>524</v>
      </c>
      <c r="E1" s="53" t="s">
        <v>525</v>
      </c>
      <c r="F1" s="53" t="s">
        <v>526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527</v>
      </c>
      <c r="F2" s="55" t="s">
        <v>527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527</v>
      </c>
      <c r="F3" s="55" t="s">
        <v>527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527</v>
      </c>
      <c r="F4" s="55" t="s">
        <v>527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527</v>
      </c>
      <c r="F5" s="55" t="s">
        <v>527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527</v>
      </c>
      <c r="F6" s="55" t="s">
        <v>527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527</v>
      </c>
      <c r="F7" s="55" t="s">
        <v>527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527</v>
      </c>
      <c r="F8" s="55" t="s">
        <v>527</v>
      </c>
    </row>
    <row r="9" spans="1:6">
      <c r="A9" s="56"/>
    </row>
    <row r="10" spans="1:6">
      <c r="A10" s="57" t="s">
        <v>528</v>
      </c>
    </row>
    <row r="11" spans="1:6">
      <c r="A11" s="57" t="s">
        <v>529</v>
      </c>
    </row>
    <row r="12" spans="1:6" ht="18">
      <c r="A12" s="58" t="s">
        <v>530</v>
      </c>
    </row>
    <row r="13" spans="1:6">
      <c r="A13" s="57" t="s">
        <v>531</v>
      </c>
    </row>
    <row r="14" spans="1:6">
      <c r="A14" s="59" t="s">
        <v>532</v>
      </c>
    </row>
    <row r="15" spans="1:6">
      <c r="A15" s="57" t="s">
        <v>533</v>
      </c>
    </row>
    <row r="16" spans="1:6">
      <c r="A16" s="60">
        <v>31048</v>
      </c>
    </row>
    <row r="17" spans="1:6">
      <c r="A17" s="61"/>
    </row>
    <row r="18" spans="1:6" ht="30">
      <c r="A18" s="52" t="s">
        <v>521</v>
      </c>
      <c r="B18" s="52" t="s">
        <v>522</v>
      </c>
      <c r="C18" s="52" t="s">
        <v>523</v>
      </c>
      <c r="D18" s="53" t="s">
        <v>524</v>
      </c>
      <c r="E18" s="53" t="s">
        <v>525</v>
      </c>
      <c r="F18" s="53" t="s">
        <v>526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527</v>
      </c>
      <c r="F19" s="55" t="s">
        <v>527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527</v>
      </c>
      <c r="F20" s="55" t="s">
        <v>527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527</v>
      </c>
      <c r="F21" s="55" t="s">
        <v>527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527</v>
      </c>
      <c r="F22" s="55" t="s">
        <v>527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527</v>
      </c>
      <c r="F23" s="55" t="s">
        <v>527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527</v>
      </c>
      <c r="F24" s="55" t="s">
        <v>527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527</v>
      </c>
      <c r="F25" s="55" t="s">
        <v>527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527</v>
      </c>
      <c r="F26" s="55" t="s">
        <v>527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527</v>
      </c>
      <c r="F27" s="55" t="s">
        <v>527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527</v>
      </c>
      <c r="F28" s="55" t="s">
        <v>527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527</v>
      </c>
      <c r="F29" s="55" t="s">
        <v>527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527</v>
      </c>
      <c r="F30" s="55" t="s">
        <v>527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527</v>
      </c>
      <c r="F31" s="55" t="s">
        <v>527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527</v>
      </c>
      <c r="F32" s="55" t="s">
        <v>527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527</v>
      </c>
      <c r="F33" s="55" t="s">
        <v>527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527</v>
      </c>
      <c r="F34" s="55" t="s">
        <v>527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527</v>
      </c>
      <c r="F35" s="55" t="s">
        <v>527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527</v>
      </c>
      <c r="F36" s="55" t="s">
        <v>527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527</v>
      </c>
      <c r="F37" s="55" t="s">
        <v>527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527</v>
      </c>
      <c r="F38" s="55" t="s">
        <v>527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527</v>
      </c>
      <c r="F39" s="55" t="s">
        <v>527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527</v>
      </c>
      <c r="F40" s="55" t="s">
        <v>527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527</v>
      </c>
      <c r="F41" s="55" t="s">
        <v>527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527</v>
      </c>
      <c r="F42" s="55" t="s">
        <v>527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527</v>
      </c>
      <c r="F43" s="55" t="s">
        <v>527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527</v>
      </c>
      <c r="F44" s="55" t="s">
        <v>527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527</v>
      </c>
      <c r="F45" s="55" t="s">
        <v>527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527</v>
      </c>
      <c r="F46" s="55" t="s">
        <v>527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527</v>
      </c>
      <c r="F47" s="55" t="s">
        <v>527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527</v>
      </c>
      <c r="F48" s="55" t="s">
        <v>527</v>
      </c>
    </row>
    <row r="49" spans="1:6">
      <c r="A49" s="56"/>
    </row>
    <row r="50" spans="1:6">
      <c r="A50" s="57" t="s">
        <v>534</v>
      </c>
    </row>
    <row r="51" spans="1:6">
      <c r="A51" s="57" t="s">
        <v>529</v>
      </c>
    </row>
    <row r="52" spans="1:6" ht="18">
      <c r="A52" s="58" t="s">
        <v>535</v>
      </c>
    </row>
    <row r="53" spans="1:6">
      <c r="A53" s="57" t="s">
        <v>531</v>
      </c>
    </row>
    <row r="54" spans="1:6">
      <c r="A54" s="59">
        <v>930.41399999999999</v>
      </c>
    </row>
    <row r="55" spans="1:6">
      <c r="A55" s="57" t="s">
        <v>533</v>
      </c>
    </row>
    <row r="56" spans="1:6">
      <c r="A56" s="60">
        <v>28126</v>
      </c>
    </row>
    <row r="57" spans="1:6">
      <c r="A57" s="61"/>
    </row>
    <row r="58" spans="1:6" ht="30">
      <c r="A58" s="52" t="s">
        <v>521</v>
      </c>
      <c r="B58" s="52" t="s">
        <v>522</v>
      </c>
      <c r="C58" s="52" t="s">
        <v>523</v>
      </c>
      <c r="D58" s="53" t="s">
        <v>524</v>
      </c>
      <c r="E58" s="53" t="s">
        <v>525</v>
      </c>
      <c r="F58" s="53" t="s">
        <v>526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527</v>
      </c>
      <c r="F59" s="55" t="s">
        <v>527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527</v>
      </c>
      <c r="F60" s="55" t="s">
        <v>527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527</v>
      </c>
      <c r="F61" s="55" t="s">
        <v>527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527</v>
      </c>
      <c r="F62" s="55" t="s">
        <v>527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527</v>
      </c>
      <c r="F63" s="55" t="s">
        <v>527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527</v>
      </c>
      <c r="F64" s="55" t="s">
        <v>527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527</v>
      </c>
      <c r="F65" s="55" t="s">
        <v>527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527</v>
      </c>
      <c r="F66" s="55" t="s">
        <v>527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527</v>
      </c>
      <c r="F67" s="55" t="s">
        <v>527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527</v>
      </c>
      <c r="F68" s="55" t="s">
        <v>527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527</v>
      </c>
      <c r="F69" s="55" t="s">
        <v>527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527</v>
      </c>
      <c r="F70" s="55" t="s">
        <v>527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527</v>
      </c>
      <c r="F71" s="55" t="s">
        <v>527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527</v>
      </c>
      <c r="F72" s="55" t="s">
        <v>527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527</v>
      </c>
      <c r="F73" s="55" t="s">
        <v>527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527</v>
      </c>
      <c r="F74" s="55" t="s">
        <v>527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527</v>
      </c>
      <c r="F75" s="55" t="s">
        <v>527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527</v>
      </c>
      <c r="F76" s="55" t="s">
        <v>527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527</v>
      </c>
      <c r="F77" s="55" t="s">
        <v>527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527</v>
      </c>
      <c r="F78" s="55" t="s">
        <v>527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527</v>
      </c>
      <c r="F79" s="55" t="s">
        <v>527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527</v>
      </c>
      <c r="F80" s="55" t="s">
        <v>527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527</v>
      </c>
      <c r="F81" s="55" t="s">
        <v>527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527</v>
      </c>
      <c r="F82" s="55" t="s">
        <v>527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527</v>
      </c>
      <c r="F83" s="55" t="s">
        <v>527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527</v>
      </c>
      <c r="F84" s="55" t="s">
        <v>527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527</v>
      </c>
      <c r="F85" s="55" t="s">
        <v>527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527</v>
      </c>
      <c r="F86" s="55" t="s">
        <v>527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527</v>
      </c>
      <c r="F87" s="55" t="s">
        <v>527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527</v>
      </c>
      <c r="F88" s="55" t="s">
        <v>527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527</v>
      </c>
      <c r="F89" s="55" t="s">
        <v>527</v>
      </c>
    </row>
    <row r="90" spans="1:6">
      <c r="A90" s="56"/>
    </row>
    <row r="91" spans="1:6">
      <c r="A91" s="57" t="s">
        <v>536</v>
      </c>
    </row>
    <row r="92" spans="1:6">
      <c r="A92" s="57" t="s">
        <v>529</v>
      </c>
    </row>
    <row r="93" spans="1:6" ht="18">
      <c r="A93" s="58" t="s">
        <v>537</v>
      </c>
    </row>
    <row r="94" spans="1:6">
      <c r="A94" s="57" t="s">
        <v>531</v>
      </c>
    </row>
    <row r="95" spans="1:6">
      <c r="A95" s="59">
        <v>840.62900000000002</v>
      </c>
    </row>
    <row r="96" spans="1:6">
      <c r="A96" s="57" t="s">
        <v>533</v>
      </c>
    </row>
    <row r="97" spans="1:6">
      <c r="A97" s="60">
        <v>25934</v>
      </c>
    </row>
    <row r="98" spans="1:6">
      <c r="A98" s="61"/>
    </row>
    <row r="99" spans="1:6" ht="30">
      <c r="A99" s="52" t="s">
        <v>521</v>
      </c>
      <c r="B99" s="52" t="s">
        <v>522</v>
      </c>
      <c r="C99" s="52" t="s">
        <v>523</v>
      </c>
      <c r="D99" s="53" t="s">
        <v>524</v>
      </c>
      <c r="E99" s="53" t="s">
        <v>525</v>
      </c>
      <c r="F99" s="53" t="s">
        <v>526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527</v>
      </c>
      <c r="F100" s="55" t="s">
        <v>527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527</v>
      </c>
      <c r="F101" s="55" t="s">
        <v>527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527</v>
      </c>
      <c r="F102" s="55" t="s">
        <v>527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527</v>
      </c>
      <c r="F103" s="55" t="s">
        <v>527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527</v>
      </c>
      <c r="F104" s="55" t="s">
        <v>527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527</v>
      </c>
      <c r="F105" s="55" t="s">
        <v>527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527</v>
      </c>
      <c r="F106" s="55" t="s">
        <v>527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527</v>
      </c>
      <c r="F107" s="55" t="s">
        <v>527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527</v>
      </c>
      <c r="F108" s="55" t="s">
        <v>527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527</v>
      </c>
      <c r="F109" s="55" t="s">
        <v>527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527</v>
      </c>
      <c r="F110" s="55" t="s">
        <v>527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527</v>
      </c>
      <c r="F111" s="55" t="s">
        <v>527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527</v>
      </c>
      <c r="F112" s="55" t="s">
        <v>527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527</v>
      </c>
      <c r="F113" s="55" t="s">
        <v>527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527</v>
      </c>
      <c r="F114" s="55" t="s">
        <v>527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527</v>
      </c>
      <c r="F115" s="55" t="s">
        <v>527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527</v>
      </c>
      <c r="F116" s="55" t="s">
        <v>527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527</v>
      </c>
      <c r="F117" s="55" t="s">
        <v>527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527</v>
      </c>
      <c r="F118" s="55" t="s">
        <v>527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527</v>
      </c>
      <c r="F119" s="55" t="s">
        <v>527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527</v>
      </c>
      <c r="F120" s="55" t="s">
        <v>527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527</v>
      </c>
      <c r="F121" s="55" t="s">
        <v>527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527</v>
      </c>
      <c r="F122" s="55" t="s">
        <v>527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527</v>
      </c>
      <c r="F123" s="55" t="s">
        <v>527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527</v>
      </c>
      <c r="F124" s="55" t="s">
        <v>527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527</v>
      </c>
      <c r="F125" s="55" t="s">
        <v>527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527</v>
      </c>
      <c r="F126" s="55" t="s">
        <v>527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527</v>
      </c>
      <c r="F127" s="55" t="s">
        <v>527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527</v>
      </c>
      <c r="F128" s="55" t="s">
        <v>527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527</v>
      </c>
      <c r="F129" s="55" t="s">
        <v>527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527</v>
      </c>
      <c r="F130" s="55" t="s">
        <v>527</v>
      </c>
    </row>
    <row r="131" spans="1:6">
      <c r="A131" s="56"/>
    </row>
    <row r="132" spans="1:6">
      <c r="A132" s="57" t="s">
        <v>538</v>
      </c>
    </row>
    <row r="133" spans="1:6">
      <c r="A133" s="57" t="s">
        <v>529</v>
      </c>
    </row>
    <row r="134" spans="1:6" ht="18">
      <c r="A134" s="58" t="s">
        <v>539</v>
      </c>
    </row>
    <row r="135" spans="1:6">
      <c r="A135" s="57" t="s">
        <v>531</v>
      </c>
    </row>
    <row r="136" spans="1:6">
      <c r="A136" s="59">
        <v>625.34</v>
      </c>
    </row>
    <row r="137" spans="1:6">
      <c r="A137" s="57" t="s">
        <v>533</v>
      </c>
    </row>
    <row r="138" spans="1:6">
      <c r="A138" s="60">
        <v>26665</v>
      </c>
    </row>
    <row r="139" spans="1:6">
      <c r="A139" s="61"/>
    </row>
    <row r="140" spans="1:6" ht="30">
      <c r="A140" s="52" t="s">
        <v>521</v>
      </c>
      <c r="B140" s="52" t="s">
        <v>522</v>
      </c>
      <c r="C140" s="52" t="s">
        <v>523</v>
      </c>
      <c r="D140" s="53" t="s">
        <v>524</v>
      </c>
      <c r="E140" s="53" t="s">
        <v>525</v>
      </c>
      <c r="F140" s="53" t="s">
        <v>526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527</v>
      </c>
      <c r="F141" s="55" t="s">
        <v>527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527</v>
      </c>
      <c r="F142" s="55" t="s">
        <v>527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527</v>
      </c>
      <c r="F143" s="55" t="s">
        <v>527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527</v>
      </c>
      <c r="F144" s="55" t="s">
        <v>527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527</v>
      </c>
      <c r="F145" s="55" t="s">
        <v>527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527</v>
      </c>
      <c r="F146" s="55" t="s">
        <v>527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527</v>
      </c>
      <c r="F147" s="55" t="s">
        <v>527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527</v>
      </c>
      <c r="F148" s="55" t="s">
        <v>527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527</v>
      </c>
      <c r="F149" s="55" t="s">
        <v>527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527</v>
      </c>
      <c r="F150" s="55" t="s">
        <v>527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527</v>
      </c>
      <c r="F151" s="55" t="s">
        <v>527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527</v>
      </c>
      <c r="F152" s="55" t="s">
        <v>527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527</v>
      </c>
      <c r="F153" s="55" t="s">
        <v>527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527</v>
      </c>
      <c r="F154" s="55" t="s">
        <v>527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527</v>
      </c>
      <c r="F155" s="55" t="s">
        <v>527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527</v>
      </c>
      <c r="F156" s="55" t="s">
        <v>527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527</v>
      </c>
      <c r="F157" s="55" t="s">
        <v>527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527</v>
      </c>
      <c r="F158" s="55" t="s">
        <v>527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527</v>
      </c>
      <c r="F159" s="55" t="s">
        <v>527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527</v>
      </c>
      <c r="F160" s="55" t="s">
        <v>527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527</v>
      </c>
      <c r="F161" s="55" t="s">
        <v>527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527</v>
      </c>
      <c r="F162" s="55" t="s">
        <v>527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527</v>
      </c>
      <c r="F163" s="55" t="s">
        <v>527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527</v>
      </c>
      <c r="F164" s="55" t="s">
        <v>527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527</v>
      </c>
      <c r="F165" s="55" t="s">
        <v>527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527</v>
      </c>
      <c r="F166" s="55" t="s">
        <v>527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527</v>
      </c>
      <c r="F167" s="55" t="s">
        <v>527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527</v>
      </c>
      <c r="F168" s="55" t="s">
        <v>527</v>
      </c>
    </row>
    <row r="169" spans="1:6">
      <c r="A169" s="56"/>
    </row>
    <row r="170" spans="1:6">
      <c r="A170" s="57" t="s">
        <v>540</v>
      </c>
    </row>
    <row r="171" spans="1:6">
      <c r="A171" s="57" t="s">
        <v>529</v>
      </c>
    </row>
    <row r="172" spans="1:6" ht="18">
      <c r="A172" s="58">
        <v>893.60900000000004</v>
      </c>
    </row>
    <row r="173" spans="1:6">
      <c r="A173" s="57" t="s">
        <v>531</v>
      </c>
    </row>
    <row r="174" spans="1:6">
      <c r="A174" s="59">
        <v>481.93799999999999</v>
      </c>
    </row>
    <row r="175" spans="1:6">
      <c r="A175" s="57" t="s">
        <v>533</v>
      </c>
    </row>
    <row r="176" spans="1:6">
      <c r="A176" s="60">
        <v>31048</v>
      </c>
    </row>
    <row r="177" spans="1:6">
      <c r="A177" s="61"/>
    </row>
    <row r="178" spans="1:6" ht="30">
      <c r="A178" s="52" t="s">
        <v>521</v>
      </c>
      <c r="B178" s="52" t="s">
        <v>522</v>
      </c>
      <c r="C178" s="52" t="s">
        <v>523</v>
      </c>
      <c r="D178" s="53" t="s">
        <v>524</v>
      </c>
      <c r="E178" s="53" t="s">
        <v>525</v>
      </c>
      <c r="F178" s="53" t="s">
        <v>526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527</v>
      </c>
      <c r="F179" s="55" t="s">
        <v>527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527</v>
      </c>
      <c r="F180" s="55" t="s">
        <v>527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527</v>
      </c>
      <c r="F181" s="55" t="s">
        <v>527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527</v>
      </c>
      <c r="F182" s="55" t="s">
        <v>527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527</v>
      </c>
      <c r="F183" s="55" t="s">
        <v>527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527</v>
      </c>
      <c r="F184" s="55" t="s">
        <v>527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527</v>
      </c>
      <c r="F185" s="55" t="s">
        <v>527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527</v>
      </c>
      <c r="F186" s="55" t="s">
        <v>527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527</v>
      </c>
      <c r="F187" s="55" t="s">
        <v>527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527</v>
      </c>
      <c r="F188" s="55" t="s">
        <v>527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527</v>
      </c>
      <c r="F189" s="55" t="s">
        <v>527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527</v>
      </c>
      <c r="F190" s="55" t="s">
        <v>527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527</v>
      </c>
      <c r="F191" s="55" t="s">
        <v>527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527</v>
      </c>
      <c r="F192" s="55" t="s">
        <v>527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527</v>
      </c>
      <c r="F193" s="55" t="s">
        <v>527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527</v>
      </c>
      <c r="F194" s="55" t="s">
        <v>527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527</v>
      </c>
      <c r="F195" s="55" t="s">
        <v>527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527</v>
      </c>
      <c r="F196" s="55" t="s">
        <v>527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527</v>
      </c>
      <c r="F197" s="55" t="s">
        <v>527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527</v>
      </c>
      <c r="F198" s="55" t="s">
        <v>527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527</v>
      </c>
      <c r="F199" s="55" t="s">
        <v>527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527</v>
      </c>
      <c r="F200" s="55" t="s">
        <v>527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527</v>
      </c>
      <c r="F201" s="55" t="s">
        <v>527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527</v>
      </c>
      <c r="F202" s="55" t="s">
        <v>527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527</v>
      </c>
      <c r="F203" s="55" t="s">
        <v>527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527</v>
      </c>
      <c r="F204" s="55" t="s">
        <v>527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527</v>
      </c>
      <c r="F205" s="55" t="s">
        <v>527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527</v>
      </c>
      <c r="F206" s="55" t="s">
        <v>527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527</v>
      </c>
      <c r="F207" s="55" t="s">
        <v>527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527</v>
      </c>
      <c r="F208" s="55" t="s">
        <v>527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527</v>
      </c>
      <c r="F209" s="55" t="s">
        <v>527</v>
      </c>
    </row>
    <row r="210" spans="1:6">
      <c r="A210" s="56"/>
    </row>
    <row r="211" spans="1:6">
      <c r="A211" s="57" t="s">
        <v>541</v>
      </c>
    </row>
    <row r="212" spans="1:6">
      <c r="A212" s="57" t="s">
        <v>529</v>
      </c>
    </row>
    <row r="213" spans="1:6" ht="18">
      <c r="A213" s="58">
        <v>808.85900000000004</v>
      </c>
    </row>
    <row r="214" spans="1:6">
      <c r="A214" s="57" t="s">
        <v>531</v>
      </c>
    </row>
    <row r="215" spans="1:6">
      <c r="A215" s="59">
        <v>410.72899999999998</v>
      </c>
    </row>
    <row r="216" spans="1:6">
      <c r="A216" s="57" t="s">
        <v>533</v>
      </c>
    </row>
    <row r="217" spans="1:6">
      <c r="A217" s="60">
        <v>35431</v>
      </c>
    </row>
    <row r="218" spans="1:6">
      <c r="A218" s="61"/>
    </row>
    <row r="219" spans="1:6" ht="30">
      <c r="A219" s="52" t="s">
        <v>521</v>
      </c>
      <c r="B219" s="52" t="s">
        <v>522</v>
      </c>
      <c r="C219" s="52" t="s">
        <v>523</v>
      </c>
      <c r="D219" s="53" t="s">
        <v>524</v>
      </c>
      <c r="E219" s="53" t="s">
        <v>525</v>
      </c>
      <c r="F219" s="53" t="s">
        <v>526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527</v>
      </c>
      <c r="F220" s="55" t="s">
        <v>527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527</v>
      </c>
      <c r="F221" s="55" t="s">
        <v>527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527</v>
      </c>
      <c r="F222" s="55" t="s">
        <v>527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527</v>
      </c>
      <c r="F223" s="55" t="s">
        <v>527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527</v>
      </c>
      <c r="F224" s="55" t="s">
        <v>527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527</v>
      </c>
      <c r="F225" s="55" t="s">
        <v>527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527</v>
      </c>
      <c r="F226" s="55" t="s">
        <v>527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527</v>
      </c>
      <c r="F227" s="55" t="s">
        <v>527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527</v>
      </c>
      <c r="F228" s="55" t="s">
        <v>527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527</v>
      </c>
      <c r="F229" s="55" t="s">
        <v>527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527</v>
      </c>
      <c r="F230" s="55" t="s">
        <v>527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527</v>
      </c>
      <c r="F231" s="55" t="s">
        <v>527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527</v>
      </c>
      <c r="F232" s="55" t="s">
        <v>527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527</v>
      </c>
      <c r="F233" s="55" t="s">
        <v>527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527</v>
      </c>
      <c r="F234" s="55" t="s">
        <v>527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527</v>
      </c>
      <c r="F235" s="55" t="s">
        <v>527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527</v>
      </c>
      <c r="F236" s="55" t="s">
        <v>527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527</v>
      </c>
      <c r="F237" s="55" t="s">
        <v>527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527</v>
      </c>
      <c r="F238" s="55" t="s">
        <v>527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527</v>
      </c>
      <c r="F239" s="55" t="s">
        <v>527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527</v>
      </c>
      <c r="F240" s="55" t="s">
        <v>527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527</v>
      </c>
      <c r="F241" s="55" t="s">
        <v>527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527</v>
      </c>
      <c r="F242" s="55" t="s">
        <v>527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527</v>
      </c>
      <c r="F243" s="55" t="s">
        <v>527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527</v>
      </c>
      <c r="F244" s="55" t="s">
        <v>527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527</v>
      </c>
      <c r="F245" s="55" t="s">
        <v>527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527</v>
      </c>
      <c r="F246" s="55" t="s">
        <v>527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527</v>
      </c>
      <c r="F247" s="55" t="s">
        <v>527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527</v>
      </c>
      <c r="F248" s="55" t="s">
        <v>527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527</v>
      </c>
      <c r="F249" s="55" t="s">
        <v>527</v>
      </c>
    </row>
    <row r="250" spans="1:6">
      <c r="A250" s="56"/>
    </row>
    <row r="251" spans="1:6">
      <c r="A251" s="57" t="s">
        <v>542</v>
      </c>
    </row>
    <row r="252" spans="1:6">
      <c r="A252" s="57" t="s">
        <v>529</v>
      </c>
    </row>
    <row r="253" spans="1:6" ht="18">
      <c r="A253" s="58">
        <v>823.76</v>
      </c>
    </row>
    <row r="254" spans="1:6">
      <c r="A254" s="57" t="s">
        <v>531</v>
      </c>
    </row>
    <row r="255" spans="1:6">
      <c r="A255" s="59">
        <v>426.69499999999999</v>
      </c>
    </row>
    <row r="256" spans="1:6">
      <c r="A256" s="57" t="s">
        <v>533</v>
      </c>
    </row>
    <row r="257" spans="1:6">
      <c r="A257" s="60">
        <v>33970</v>
      </c>
    </row>
    <row r="258" spans="1:6">
      <c r="A258" s="61"/>
    </row>
    <row r="259" spans="1:6" ht="30">
      <c r="A259" s="52" t="s">
        <v>521</v>
      </c>
      <c r="B259" s="52" t="s">
        <v>522</v>
      </c>
      <c r="C259" s="52" t="s">
        <v>523</v>
      </c>
      <c r="D259" s="53" t="s">
        <v>524</v>
      </c>
      <c r="E259" s="53" t="s">
        <v>525</v>
      </c>
      <c r="F259" s="53" t="s">
        <v>526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527</v>
      </c>
      <c r="F260" s="55" t="s">
        <v>527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527</v>
      </c>
      <c r="F261" s="55" t="s">
        <v>527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527</v>
      </c>
      <c r="F262" s="55" t="s">
        <v>527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527</v>
      </c>
      <c r="F263" s="55" t="s">
        <v>527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527</v>
      </c>
      <c r="F264" s="55" t="s">
        <v>527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527</v>
      </c>
      <c r="F265" s="55" t="s">
        <v>527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527</v>
      </c>
      <c r="F266" s="55" t="s">
        <v>527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527</v>
      </c>
      <c r="F267" s="55" t="s">
        <v>527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527</v>
      </c>
      <c r="F268" s="55" t="s">
        <v>527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527</v>
      </c>
      <c r="F269" s="55" t="s">
        <v>527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527</v>
      </c>
      <c r="F270" s="55" t="s">
        <v>527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527</v>
      </c>
      <c r="F271" s="55" t="s">
        <v>527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527</v>
      </c>
      <c r="F272" s="55" t="s">
        <v>527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527</v>
      </c>
      <c r="F273" s="55" t="s">
        <v>527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527</v>
      </c>
      <c r="F274" s="55" t="s">
        <v>527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527</v>
      </c>
      <c r="F275" s="55" t="s">
        <v>527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527</v>
      </c>
      <c r="F276" s="55" t="s">
        <v>527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527</v>
      </c>
      <c r="F277" s="55" t="s">
        <v>527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527</v>
      </c>
      <c r="F278" s="55" t="s">
        <v>527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527</v>
      </c>
      <c r="F279" s="55" t="s">
        <v>527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527</v>
      </c>
      <c r="F280" s="55" t="s">
        <v>527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527</v>
      </c>
      <c r="F281" s="55" t="s">
        <v>527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527</v>
      </c>
      <c r="F282" s="55" t="s">
        <v>527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527</v>
      </c>
      <c r="F283" s="55" t="s">
        <v>527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527</v>
      </c>
      <c r="F284" s="55" t="s">
        <v>527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527</v>
      </c>
      <c r="F285" s="55" t="s">
        <v>527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527</v>
      </c>
      <c r="F286" s="55" t="s">
        <v>527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527</v>
      </c>
      <c r="F287" s="55" t="s">
        <v>527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527</v>
      </c>
      <c r="F288" s="55" t="s">
        <v>527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527</v>
      </c>
      <c r="F289" s="55" t="s">
        <v>527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527</v>
      </c>
      <c r="F290" s="55" t="s">
        <v>527</v>
      </c>
    </row>
    <row r="291" spans="1:6">
      <c r="A291" s="56"/>
    </row>
    <row r="292" spans="1:6">
      <c r="A292" s="57" t="s">
        <v>543</v>
      </c>
    </row>
    <row r="293" spans="1:6">
      <c r="A293" s="57" t="s">
        <v>529</v>
      </c>
    </row>
    <row r="294" spans="1:6" ht="18">
      <c r="A294" s="58">
        <v>890.20600000000002</v>
      </c>
    </row>
    <row r="295" spans="1:6">
      <c r="A295" s="57" t="s">
        <v>531</v>
      </c>
    </row>
    <row r="296" spans="1:6">
      <c r="A296" s="59">
        <v>470.33499999999998</v>
      </c>
    </row>
    <row r="297" spans="1:6">
      <c r="A297" s="57" t="s">
        <v>533</v>
      </c>
    </row>
    <row r="298" spans="1:6">
      <c r="A298" s="60">
        <v>32509</v>
      </c>
    </row>
    <row r="299" spans="1:6">
      <c r="A299" s="61"/>
    </row>
    <row r="300" spans="1:6" ht="30">
      <c r="A300" s="52" t="s">
        <v>521</v>
      </c>
      <c r="B300" s="52" t="s">
        <v>522</v>
      </c>
      <c r="C300" s="52" t="s">
        <v>523</v>
      </c>
      <c r="D300" s="53" t="s">
        <v>524</v>
      </c>
      <c r="E300" s="53" t="s">
        <v>525</v>
      </c>
      <c r="F300" s="53" t="s">
        <v>526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527</v>
      </c>
      <c r="F301" s="55" t="s">
        <v>527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527</v>
      </c>
      <c r="F302" s="55" t="s">
        <v>527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527</v>
      </c>
      <c r="F303" s="55" t="s">
        <v>527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527</v>
      </c>
      <c r="F304" s="55" t="s">
        <v>527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527</v>
      </c>
      <c r="F305" s="55" t="s">
        <v>527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527</v>
      </c>
      <c r="F306" s="55" t="s">
        <v>527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527</v>
      </c>
      <c r="F307" s="55" t="s">
        <v>527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527</v>
      </c>
      <c r="F308" s="55" t="s">
        <v>527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527</v>
      </c>
      <c r="F309" s="55" t="s">
        <v>527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527</v>
      </c>
      <c r="F310" s="55" t="s">
        <v>527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527</v>
      </c>
      <c r="F311" s="55" t="s">
        <v>527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527</v>
      </c>
      <c r="F312" s="55" t="s">
        <v>527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527</v>
      </c>
      <c r="F313" s="55" t="s">
        <v>527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527</v>
      </c>
      <c r="F314" s="55" t="s">
        <v>527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527</v>
      </c>
      <c r="F315" s="55" t="s">
        <v>527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527</v>
      </c>
      <c r="F316" s="55" t="s">
        <v>527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527</v>
      </c>
      <c r="F317" s="55" t="s">
        <v>527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527</v>
      </c>
      <c r="F318" s="55" t="s">
        <v>527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527</v>
      </c>
      <c r="F319" s="55" t="s">
        <v>527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527</v>
      </c>
      <c r="F320" s="55" t="s">
        <v>527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527</v>
      </c>
      <c r="F321" s="55" t="s">
        <v>527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527</v>
      </c>
      <c r="F322" s="55" t="s">
        <v>527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527</v>
      </c>
      <c r="F323" s="55" t="s">
        <v>527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527</v>
      </c>
      <c r="F324" s="55" t="s">
        <v>527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527</v>
      </c>
      <c r="F325" s="55" t="s">
        <v>527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527</v>
      </c>
      <c r="F326" s="55" t="s">
        <v>527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527</v>
      </c>
      <c r="F327" s="55" t="s">
        <v>527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527</v>
      </c>
      <c r="F328" s="55" t="s">
        <v>527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527</v>
      </c>
      <c r="F329" s="55" t="s">
        <v>527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527</v>
      </c>
      <c r="F330" s="55" t="s">
        <v>527</v>
      </c>
    </row>
    <row r="331" spans="1:6">
      <c r="A331" s="56"/>
    </row>
    <row r="332" spans="1:6">
      <c r="A332" s="57" t="s">
        <v>544</v>
      </c>
    </row>
    <row r="333" spans="1:6">
      <c r="A333" s="57" t="s">
        <v>529</v>
      </c>
    </row>
    <row r="334" spans="1:6" ht="18">
      <c r="A334" s="58" t="s">
        <v>545</v>
      </c>
    </row>
    <row r="335" spans="1:6">
      <c r="A335" s="57" t="s">
        <v>531</v>
      </c>
    </row>
    <row r="336" spans="1:6">
      <c r="A336" s="59">
        <v>624.86900000000003</v>
      </c>
    </row>
    <row r="337" spans="1:6">
      <c r="A337" s="57" t="s">
        <v>533</v>
      </c>
    </row>
    <row r="338" spans="1:6">
      <c r="A338" s="60">
        <v>32143</v>
      </c>
    </row>
    <row r="339" spans="1:6">
      <c r="A339" s="61"/>
    </row>
    <row r="340" spans="1:6" ht="30">
      <c r="A340" s="52" t="s">
        <v>521</v>
      </c>
      <c r="B340" s="52" t="s">
        <v>522</v>
      </c>
      <c r="C340" s="52" t="s">
        <v>523</v>
      </c>
      <c r="D340" s="53" t="s">
        <v>524</v>
      </c>
      <c r="E340" s="53" t="s">
        <v>525</v>
      </c>
      <c r="F340" s="53" t="s">
        <v>526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527</v>
      </c>
      <c r="F341" s="55" t="s">
        <v>527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527</v>
      </c>
      <c r="F342" s="55" t="s">
        <v>527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527</v>
      </c>
      <c r="F343" s="55" t="s">
        <v>527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527</v>
      </c>
      <c r="F344" s="55" t="s">
        <v>527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527</v>
      </c>
      <c r="F345" s="55" t="s">
        <v>527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527</v>
      </c>
      <c r="F346" s="55" t="s">
        <v>527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527</v>
      </c>
      <c r="F347" s="55" t="s">
        <v>527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527</v>
      </c>
      <c r="F348" s="55" t="s">
        <v>527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527</v>
      </c>
      <c r="F349" s="55" t="s">
        <v>527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527</v>
      </c>
      <c r="F350" s="55" t="s">
        <v>527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527</v>
      </c>
      <c r="F351" s="55" t="s">
        <v>527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527</v>
      </c>
      <c r="F352" s="55" t="s">
        <v>527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527</v>
      </c>
      <c r="F353" s="55" t="s">
        <v>527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527</v>
      </c>
      <c r="F354" s="55" t="s">
        <v>527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527</v>
      </c>
      <c r="F355" s="55" t="s">
        <v>527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527</v>
      </c>
      <c r="F356" s="55" t="s">
        <v>527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527</v>
      </c>
      <c r="F357" s="55" t="s">
        <v>527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527</v>
      </c>
      <c r="F358" s="55" t="s">
        <v>527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527</v>
      </c>
      <c r="F359" s="55" t="s">
        <v>527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527</v>
      </c>
      <c r="F360" s="55" t="s">
        <v>527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527</v>
      </c>
      <c r="F361" s="55" t="s">
        <v>527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527</v>
      </c>
      <c r="F362" s="55" t="s">
        <v>527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527</v>
      </c>
      <c r="F363" s="55" t="s">
        <v>527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527</v>
      </c>
      <c r="F364" s="55" t="s">
        <v>527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527</v>
      </c>
      <c r="F365" s="55" t="s">
        <v>527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527</v>
      </c>
      <c r="F366" s="55" t="s">
        <v>527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527</v>
      </c>
      <c r="F367" s="55" t="s">
        <v>527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527</v>
      </c>
      <c r="F368" s="55" t="s">
        <v>527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527</v>
      </c>
      <c r="F369" s="55" t="s">
        <v>527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527</v>
      </c>
      <c r="F370" s="55" t="s">
        <v>527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527</v>
      </c>
      <c r="F371" s="55" t="s">
        <v>527</v>
      </c>
    </row>
    <row r="372" spans="1:6">
      <c r="A372" s="56"/>
    </row>
    <row r="373" spans="1:6">
      <c r="A373" s="57" t="s">
        <v>546</v>
      </c>
    </row>
    <row r="374" spans="1:6">
      <c r="A374" s="57" t="s">
        <v>529</v>
      </c>
    </row>
    <row r="375" spans="1:6" ht="18">
      <c r="A375" s="58" t="s">
        <v>547</v>
      </c>
    </row>
    <row r="376" spans="1:6">
      <c r="A376" s="57" t="s">
        <v>531</v>
      </c>
    </row>
    <row r="377" spans="1:6">
      <c r="A377" s="59">
        <v>590.57600000000002</v>
      </c>
    </row>
    <row r="378" spans="1:6">
      <c r="A378" s="57" t="s">
        <v>533</v>
      </c>
    </row>
    <row r="379" spans="1:6">
      <c r="A379" s="60">
        <v>31413</v>
      </c>
    </row>
    <row r="380" spans="1:6">
      <c r="A380" s="61"/>
    </row>
    <row r="381" spans="1:6" ht="30">
      <c r="A381" s="52" t="s">
        <v>521</v>
      </c>
      <c r="B381" s="52" t="s">
        <v>522</v>
      </c>
      <c r="C381" s="52" t="s">
        <v>523</v>
      </c>
      <c r="D381" s="53" t="s">
        <v>524</v>
      </c>
      <c r="E381" s="53" t="s">
        <v>525</v>
      </c>
      <c r="F381" s="53" t="s">
        <v>526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527</v>
      </c>
      <c r="F382" s="55" t="s">
        <v>527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527</v>
      </c>
      <c r="F383" s="55" t="s">
        <v>527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527</v>
      </c>
      <c r="F384" s="55" t="s">
        <v>527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527</v>
      </c>
      <c r="F385" s="55" t="s">
        <v>527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527</v>
      </c>
      <c r="F386" s="55" t="s">
        <v>527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527</v>
      </c>
      <c r="F387" s="55" t="s">
        <v>527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527</v>
      </c>
      <c r="F388" s="55" t="s">
        <v>527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527</v>
      </c>
      <c r="F389" s="55" t="s">
        <v>527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527</v>
      </c>
      <c r="F390" s="55" t="s">
        <v>527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527</v>
      </c>
      <c r="F391" s="55" t="s">
        <v>527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527</v>
      </c>
      <c r="F392" s="55" t="s">
        <v>527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527</v>
      </c>
      <c r="F393" s="55" t="s">
        <v>527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527</v>
      </c>
      <c r="F394" s="55" t="s">
        <v>527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527</v>
      </c>
      <c r="F395" s="55" t="s">
        <v>527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527</v>
      </c>
      <c r="F396" s="55" t="s">
        <v>527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527</v>
      </c>
      <c r="F397" s="55" t="s">
        <v>527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527</v>
      </c>
      <c r="F398" s="55" t="s">
        <v>527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527</v>
      </c>
      <c r="F399" s="55" t="s">
        <v>527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527</v>
      </c>
      <c r="F400" s="55" t="s">
        <v>527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527</v>
      </c>
      <c r="F401" s="55" t="s">
        <v>527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527</v>
      </c>
      <c r="F402" s="55" t="s">
        <v>527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527</v>
      </c>
      <c r="F403" s="55" t="s">
        <v>527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527</v>
      </c>
      <c r="F404" s="55" t="s">
        <v>527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527</v>
      </c>
      <c r="F405" s="55" t="s">
        <v>527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527</v>
      </c>
      <c r="F406" s="55" t="s">
        <v>527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527</v>
      </c>
      <c r="F407" s="55" t="s">
        <v>527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527</v>
      </c>
      <c r="F408" s="55" t="s">
        <v>527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527</v>
      </c>
      <c r="F409" s="55" t="s">
        <v>527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527</v>
      </c>
      <c r="F410" s="55" t="s">
        <v>527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527</v>
      </c>
      <c r="F411" s="55" t="s">
        <v>527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527</v>
      </c>
      <c r="F412" s="55" t="s">
        <v>527</v>
      </c>
    </row>
    <row r="413" spans="1:6">
      <c r="A413" s="56"/>
    </row>
    <row r="414" spans="1:6">
      <c r="A414" s="57" t="s">
        <v>548</v>
      </c>
    </row>
    <row r="415" spans="1:6">
      <c r="A415" s="57" t="s">
        <v>529</v>
      </c>
    </row>
    <row r="416" spans="1:6" ht="18">
      <c r="A416" s="58">
        <v>850.33399999999995</v>
      </c>
    </row>
    <row r="417" spans="1:6">
      <c r="A417" s="57" t="s">
        <v>531</v>
      </c>
    </row>
    <row r="418" spans="1:6">
      <c r="A418" s="59">
        <v>477.28300000000002</v>
      </c>
    </row>
    <row r="419" spans="1:6">
      <c r="A419" s="57" t="s">
        <v>533</v>
      </c>
    </row>
    <row r="420" spans="1:6">
      <c r="A420" s="60">
        <v>28491</v>
      </c>
    </row>
    <row r="421" spans="1:6">
      <c r="A421" s="61"/>
    </row>
    <row r="422" spans="1:6" ht="30">
      <c r="A422" s="52" t="s">
        <v>521</v>
      </c>
      <c r="B422" s="52" t="s">
        <v>522</v>
      </c>
      <c r="C422" s="52" t="s">
        <v>523</v>
      </c>
      <c r="D422" s="53" t="s">
        <v>524</v>
      </c>
      <c r="E422" s="53" t="s">
        <v>525</v>
      </c>
      <c r="F422" s="53" t="s">
        <v>526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527</v>
      </c>
      <c r="F423" s="55" t="s">
        <v>527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527</v>
      </c>
      <c r="F424" s="55" t="s">
        <v>527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527</v>
      </c>
      <c r="F425" s="55" t="s">
        <v>527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527</v>
      </c>
      <c r="F426" s="55" t="s">
        <v>527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527</v>
      </c>
      <c r="F427" s="55" t="s">
        <v>527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527</v>
      </c>
      <c r="F428" s="55" t="s">
        <v>527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527</v>
      </c>
      <c r="F429" s="55" t="s">
        <v>527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527</v>
      </c>
      <c r="F430" s="55" t="s">
        <v>527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527</v>
      </c>
      <c r="F431" s="55" t="s">
        <v>527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527</v>
      </c>
      <c r="F432" s="55" t="s">
        <v>527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527</v>
      </c>
      <c r="F433" s="55" t="s">
        <v>527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527</v>
      </c>
      <c r="F434" s="55" t="s">
        <v>527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527</v>
      </c>
      <c r="F435" s="55" t="s">
        <v>527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527</v>
      </c>
      <c r="F436" s="55" t="s">
        <v>527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527</v>
      </c>
      <c r="F437" s="55" t="s">
        <v>527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527</v>
      </c>
      <c r="F438" s="55" t="s">
        <v>527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527</v>
      </c>
      <c r="F439" s="55" t="s">
        <v>527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527</v>
      </c>
      <c r="F440" s="55" t="s">
        <v>527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527</v>
      </c>
      <c r="F441" s="55" t="s">
        <v>527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527</v>
      </c>
      <c r="F442" s="55" t="s">
        <v>527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527</v>
      </c>
      <c r="F443" s="55" t="s">
        <v>527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527</v>
      </c>
      <c r="F444" s="55" t="s">
        <v>527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527</v>
      </c>
      <c r="F445" s="55" t="s">
        <v>527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527</v>
      </c>
      <c r="F446" s="55" t="s">
        <v>527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527</v>
      </c>
      <c r="F447" s="55" t="s">
        <v>527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527</v>
      </c>
      <c r="F448" s="55" t="s">
        <v>527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527</v>
      </c>
      <c r="F449" s="55" t="s">
        <v>527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527</v>
      </c>
      <c r="F450" s="55" t="s">
        <v>527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527</v>
      </c>
      <c r="F451" s="55" t="s">
        <v>527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527</v>
      </c>
      <c r="F452" s="55" t="s">
        <v>527</v>
      </c>
    </row>
    <row r="453" spans="1:6">
      <c r="A453" s="56"/>
    </row>
    <row r="454" spans="1:6">
      <c r="A454" s="57" t="s">
        <v>549</v>
      </c>
    </row>
    <row r="455" spans="1:6">
      <c r="A455" s="57" t="s">
        <v>529</v>
      </c>
    </row>
    <row r="456" spans="1:6" ht="18">
      <c r="A456" s="58">
        <v>883.52800000000002</v>
      </c>
    </row>
    <row r="457" spans="1:6">
      <c r="A457" s="57" t="s">
        <v>531</v>
      </c>
    </row>
    <row r="458" spans="1:6">
      <c r="A458" s="59">
        <v>474.08300000000003</v>
      </c>
    </row>
    <row r="459" spans="1:6">
      <c r="A459" s="57" t="s">
        <v>533</v>
      </c>
    </row>
    <row r="460" spans="1:6">
      <c r="A460" s="60">
        <v>31413</v>
      </c>
    </row>
    <row r="461" spans="1:6">
      <c r="A461" s="61"/>
    </row>
    <row r="462" spans="1:6" ht="30">
      <c r="A462" s="52" t="s">
        <v>521</v>
      </c>
      <c r="B462" s="52" t="s">
        <v>522</v>
      </c>
      <c r="C462" s="52" t="s">
        <v>523</v>
      </c>
      <c r="D462" s="53" t="s">
        <v>524</v>
      </c>
      <c r="E462" s="53" t="s">
        <v>525</v>
      </c>
      <c r="F462" s="53" t="s">
        <v>526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527</v>
      </c>
      <c r="F463" s="55" t="s">
        <v>527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527</v>
      </c>
      <c r="F464" s="55" t="s">
        <v>527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527</v>
      </c>
      <c r="F465" s="55" t="s">
        <v>527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527</v>
      </c>
      <c r="F466" s="55" t="s">
        <v>527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527</v>
      </c>
      <c r="F467" s="55" t="s">
        <v>527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527</v>
      </c>
      <c r="F468" s="55" t="s">
        <v>527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527</v>
      </c>
      <c r="F469" s="55" t="s">
        <v>527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527</v>
      </c>
      <c r="F470" s="55" t="s">
        <v>527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527</v>
      </c>
      <c r="F471" s="55" t="s">
        <v>527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527</v>
      </c>
      <c r="F472" s="55" t="s">
        <v>527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527</v>
      </c>
      <c r="F473" s="55" t="s">
        <v>527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527</v>
      </c>
      <c r="F474" s="55" t="s">
        <v>527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527</v>
      </c>
      <c r="F475" s="55" t="s">
        <v>527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527</v>
      </c>
      <c r="F476" s="55" t="s">
        <v>527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527</v>
      </c>
      <c r="F477" s="55" t="s">
        <v>527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527</v>
      </c>
      <c r="F478" s="55" t="s">
        <v>527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527</v>
      </c>
      <c r="F479" s="55" t="s">
        <v>527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527</v>
      </c>
      <c r="F480" s="55" t="s">
        <v>527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527</v>
      </c>
      <c r="F481" s="55" t="s">
        <v>527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527</v>
      </c>
      <c r="F482" s="55" t="s">
        <v>527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527</v>
      </c>
      <c r="F483" s="55" t="s">
        <v>527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527</v>
      </c>
      <c r="F484" s="55" t="s">
        <v>527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527</v>
      </c>
      <c r="F485" s="55" t="s">
        <v>527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527</v>
      </c>
      <c r="F486" s="55" t="s">
        <v>527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527</v>
      </c>
      <c r="F487" s="55" t="s">
        <v>527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527</v>
      </c>
      <c r="F488" s="55" t="s">
        <v>527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527</v>
      </c>
      <c r="F489" s="55" t="s">
        <v>527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527</v>
      </c>
      <c r="F490" s="55" t="s">
        <v>527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527</v>
      </c>
      <c r="F491" s="55" t="s">
        <v>527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527</v>
      </c>
      <c r="F492" s="55" t="s">
        <v>527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527</v>
      </c>
      <c r="F493" s="55" t="s">
        <v>527</v>
      </c>
    </row>
    <row r="494" spans="1:6">
      <c r="A494" s="56"/>
    </row>
    <row r="495" spans="1:6">
      <c r="A495" s="57" t="s">
        <v>550</v>
      </c>
    </row>
    <row r="496" spans="1:6">
      <c r="A496" s="57" t="s">
        <v>529</v>
      </c>
    </row>
    <row r="497" spans="1:6" ht="18">
      <c r="A497" s="58">
        <v>904.19200000000001</v>
      </c>
    </row>
    <row r="498" spans="1:6">
      <c r="A498" s="57" t="s">
        <v>531</v>
      </c>
    </row>
    <row r="499" spans="1:6">
      <c r="A499" s="59">
        <v>520.97199999999998</v>
      </c>
    </row>
    <row r="500" spans="1:6">
      <c r="A500" s="57" t="s">
        <v>533</v>
      </c>
    </row>
    <row r="501" spans="1:6">
      <c r="A501" s="60">
        <v>27030</v>
      </c>
    </row>
    <row r="502" spans="1:6">
      <c r="A502" s="61"/>
    </row>
    <row r="503" spans="1:6" ht="30">
      <c r="A503" s="52" t="s">
        <v>521</v>
      </c>
      <c r="B503" s="52" t="s">
        <v>522</v>
      </c>
      <c r="C503" s="52" t="s">
        <v>523</v>
      </c>
      <c r="D503" s="53" t="s">
        <v>524</v>
      </c>
      <c r="E503" s="53" t="s">
        <v>525</v>
      </c>
      <c r="F503" s="53" t="s">
        <v>526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527</v>
      </c>
      <c r="F504" s="55" t="s">
        <v>527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527</v>
      </c>
      <c r="F505" s="55" t="s">
        <v>527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527</v>
      </c>
      <c r="F506" s="55" t="s">
        <v>527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527</v>
      </c>
      <c r="F507" s="55" t="s">
        <v>527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527</v>
      </c>
      <c r="F508" s="55" t="s">
        <v>527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527</v>
      </c>
      <c r="F509" s="55" t="s">
        <v>527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527</v>
      </c>
      <c r="F510" s="55" t="s">
        <v>527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527</v>
      </c>
      <c r="F511" s="55" t="s">
        <v>527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527</v>
      </c>
      <c r="F512" s="55" t="s">
        <v>527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527</v>
      </c>
      <c r="F513" s="55" t="s">
        <v>527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527</v>
      </c>
      <c r="F514" s="55" t="s">
        <v>527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527</v>
      </c>
      <c r="F515" s="55" t="s">
        <v>527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527</v>
      </c>
      <c r="F516" s="55" t="s">
        <v>527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527</v>
      </c>
      <c r="F517" s="55" t="s">
        <v>527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527</v>
      </c>
      <c r="F518" s="55" t="s">
        <v>527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527</v>
      </c>
      <c r="F519" s="55" t="s">
        <v>527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527</v>
      </c>
      <c r="F520" s="55" t="s">
        <v>527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527</v>
      </c>
      <c r="F521" s="55" t="s">
        <v>527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527</v>
      </c>
      <c r="F522" s="55" t="s">
        <v>527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527</v>
      </c>
      <c r="F523" s="55" t="s">
        <v>527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527</v>
      </c>
      <c r="F524" s="55" t="s">
        <v>527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527</v>
      </c>
      <c r="F525" s="55" t="s">
        <v>527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527</v>
      </c>
      <c r="F526" s="55" t="s">
        <v>527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527</v>
      </c>
      <c r="F527" s="55" t="s">
        <v>527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527</v>
      </c>
      <c r="F528" s="55" t="s">
        <v>527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527</v>
      </c>
      <c r="F529" s="55" t="s">
        <v>527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527</v>
      </c>
      <c r="F530" s="55" t="s">
        <v>527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527</v>
      </c>
      <c r="F531" s="55" t="s">
        <v>527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527</v>
      </c>
      <c r="F532" s="55" t="s">
        <v>527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527</v>
      </c>
      <c r="F533" s="55" t="s">
        <v>527</v>
      </c>
    </row>
    <row r="534" spans="1:6">
      <c r="A534" s="56"/>
    </row>
    <row r="535" spans="1:6">
      <c r="A535" s="57" t="s">
        <v>551</v>
      </c>
    </row>
    <row r="536" spans="1:6">
      <c r="A536" s="57" t="s">
        <v>529</v>
      </c>
    </row>
    <row r="537" spans="1:6" ht="18">
      <c r="A537" s="58">
        <v>870.03399999999999</v>
      </c>
    </row>
    <row r="538" spans="1:6">
      <c r="A538" s="57" t="s">
        <v>531</v>
      </c>
    </row>
    <row r="539" spans="1:6">
      <c r="A539" s="59">
        <v>435.91199999999998</v>
      </c>
    </row>
    <row r="540" spans="1:6">
      <c r="A540" s="57" t="s">
        <v>533</v>
      </c>
    </row>
    <row r="541" spans="1:6">
      <c r="A541" s="59" t="s">
        <v>552</v>
      </c>
    </row>
    <row r="542" spans="1:6">
      <c r="A542" s="61"/>
    </row>
    <row r="543" spans="1:6" ht="30">
      <c r="A543" s="52" t="s">
        <v>521</v>
      </c>
      <c r="B543" s="52" t="s">
        <v>522</v>
      </c>
      <c r="C543" s="52" t="s">
        <v>523</v>
      </c>
      <c r="D543" s="53" t="s">
        <v>524</v>
      </c>
      <c r="E543" s="53" t="s">
        <v>525</v>
      </c>
      <c r="F543" s="53" t="s">
        <v>526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527</v>
      </c>
      <c r="F544" s="55" t="s">
        <v>527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527</v>
      </c>
      <c r="F545" s="55" t="s">
        <v>527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527</v>
      </c>
      <c r="F546" s="55" t="s">
        <v>527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527</v>
      </c>
      <c r="F547" s="55" t="s">
        <v>527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527</v>
      </c>
      <c r="F548" s="55" t="s">
        <v>527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527</v>
      </c>
      <c r="F549" s="55" t="s">
        <v>527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527</v>
      </c>
      <c r="F550" s="55" t="s">
        <v>527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527</v>
      </c>
      <c r="F551" s="55" t="s">
        <v>527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527</v>
      </c>
      <c r="F552" s="55" t="s">
        <v>527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527</v>
      </c>
      <c r="F553" s="55" t="s">
        <v>527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527</v>
      </c>
      <c r="F554" s="55" t="s">
        <v>527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527</v>
      </c>
      <c r="F555" s="55" t="s">
        <v>527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527</v>
      </c>
      <c r="F556" s="55" t="s">
        <v>527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527</v>
      </c>
      <c r="F557" s="55" t="s">
        <v>527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527</v>
      </c>
      <c r="F558" s="55" t="s">
        <v>527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527</v>
      </c>
      <c r="F559" s="55" t="s">
        <v>527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527</v>
      </c>
      <c r="F560" s="55" t="s">
        <v>527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527</v>
      </c>
      <c r="F561" s="55" t="s">
        <v>527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527</v>
      </c>
      <c r="F562" s="55" t="s">
        <v>527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527</v>
      </c>
      <c r="F563" s="55" t="s">
        <v>527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527</v>
      </c>
      <c r="F564" s="55" t="s">
        <v>527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527</v>
      </c>
      <c r="F565" s="55" t="s">
        <v>527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527</v>
      </c>
      <c r="F566" s="55" t="s">
        <v>527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527</v>
      </c>
      <c r="F567" s="55" t="s">
        <v>527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527</v>
      </c>
      <c r="F568" s="55" t="s">
        <v>527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527</v>
      </c>
      <c r="F569" s="55" t="s">
        <v>527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527</v>
      </c>
      <c r="F570" s="55" t="s">
        <v>527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527</v>
      </c>
      <c r="F571" s="55" t="s">
        <v>527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527</v>
      </c>
      <c r="F572" s="55" t="s">
        <v>527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527</v>
      </c>
      <c r="F573" s="55" t="s">
        <v>527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527</v>
      </c>
      <c r="F574" s="55" t="s">
        <v>527</v>
      </c>
    </row>
    <row r="575" spans="1:6">
      <c r="A575" s="56"/>
    </row>
    <row r="576" spans="1:6">
      <c r="A576" s="57" t="s">
        <v>553</v>
      </c>
    </row>
    <row r="577" spans="1:6">
      <c r="A577" s="57" t="s">
        <v>529</v>
      </c>
    </row>
    <row r="578" spans="1:6" ht="18">
      <c r="A578" s="58">
        <v>829.21400000000006</v>
      </c>
    </row>
    <row r="579" spans="1:6">
      <c r="A579" s="57" t="s">
        <v>531</v>
      </c>
    </row>
    <row r="580" spans="1:6">
      <c r="A580" s="59">
        <v>438.517</v>
      </c>
    </row>
    <row r="581" spans="1:6">
      <c r="A581" s="57" t="s">
        <v>533</v>
      </c>
    </row>
    <row r="582" spans="1:6">
      <c r="A582" s="60">
        <v>32509</v>
      </c>
    </row>
    <row r="583" spans="1:6">
      <c r="A583" s="61"/>
    </row>
    <row r="584" spans="1:6" ht="30">
      <c r="A584" s="52" t="s">
        <v>521</v>
      </c>
      <c r="B584" s="52" t="s">
        <v>522</v>
      </c>
      <c r="C584" s="52" t="s">
        <v>523</v>
      </c>
      <c r="D584" s="53" t="s">
        <v>524</v>
      </c>
      <c r="E584" s="53" t="s">
        <v>525</v>
      </c>
      <c r="F584" s="53" t="s">
        <v>526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527</v>
      </c>
      <c r="F585" s="55" t="s">
        <v>527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527</v>
      </c>
      <c r="F586" s="55" t="s">
        <v>527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527</v>
      </c>
      <c r="F587" s="55" t="s">
        <v>527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527</v>
      </c>
      <c r="F588" s="55" t="s">
        <v>527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527</v>
      </c>
      <c r="F589" s="55" t="s">
        <v>527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527</v>
      </c>
      <c r="F590" s="55" t="s">
        <v>527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527</v>
      </c>
      <c r="F591" s="55" t="s">
        <v>527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527</v>
      </c>
      <c r="F592" s="55" t="s">
        <v>527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527</v>
      </c>
      <c r="F593" s="55" t="s">
        <v>527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527</v>
      </c>
      <c r="F594" s="55" t="s">
        <v>527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527</v>
      </c>
      <c r="F595" s="55" t="s">
        <v>527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527</v>
      </c>
      <c r="F596" s="55" t="s">
        <v>527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527</v>
      </c>
      <c r="F597" s="55" t="s">
        <v>527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527</v>
      </c>
      <c r="F598" s="55" t="s">
        <v>527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527</v>
      </c>
      <c r="F599" s="55" t="s">
        <v>527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527</v>
      </c>
      <c r="F600" s="55" t="s">
        <v>527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527</v>
      </c>
      <c r="F601" s="55" t="s">
        <v>527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527</v>
      </c>
      <c r="F602" s="55" t="s">
        <v>527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527</v>
      </c>
      <c r="F603" s="55" t="s">
        <v>527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527</v>
      </c>
      <c r="F604" s="55" t="s">
        <v>527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527</v>
      </c>
      <c r="F605" s="55" t="s">
        <v>527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527</v>
      </c>
      <c r="F606" s="55" t="s">
        <v>527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527</v>
      </c>
      <c r="F607" s="55" t="s">
        <v>527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527</v>
      </c>
      <c r="F608" s="55" t="s">
        <v>527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527</v>
      </c>
      <c r="F609" s="55" t="s">
        <v>527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527</v>
      </c>
      <c r="F610" s="55" t="s">
        <v>527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527</v>
      </c>
      <c r="F611" s="55" t="s">
        <v>527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527</v>
      </c>
      <c r="F612" s="55" t="s">
        <v>527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527</v>
      </c>
      <c r="F613" s="55" t="s">
        <v>527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527</v>
      </c>
      <c r="F614" s="55" t="s">
        <v>527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527</v>
      </c>
      <c r="F615" s="55" t="s">
        <v>527</v>
      </c>
    </row>
    <row r="616" spans="1:6">
      <c r="A616" s="56"/>
    </row>
    <row r="617" spans="1:6">
      <c r="A617" s="57" t="s">
        <v>554</v>
      </c>
    </row>
    <row r="618" spans="1:6">
      <c r="A618" s="57" t="s">
        <v>529</v>
      </c>
    </row>
    <row r="619" spans="1:6" ht="18">
      <c r="A619" s="58">
        <v>730.46299999999997</v>
      </c>
    </row>
    <row r="620" spans="1:6">
      <c r="A620" s="57" t="s">
        <v>531</v>
      </c>
    </row>
    <row r="621" spans="1:6">
      <c r="A621" s="59">
        <v>398.93599999999998</v>
      </c>
    </row>
    <row r="622" spans="1:6">
      <c r="A622" s="57" t="s">
        <v>533</v>
      </c>
    </row>
    <row r="623" spans="1:6">
      <c r="A623" s="60">
        <v>30317</v>
      </c>
    </row>
    <row r="624" spans="1:6">
      <c r="A624" s="61"/>
    </row>
    <row r="625" spans="1:6" ht="30">
      <c r="A625" s="52" t="s">
        <v>521</v>
      </c>
      <c r="B625" s="52" t="s">
        <v>522</v>
      </c>
      <c r="C625" s="52" t="s">
        <v>523</v>
      </c>
      <c r="D625" s="53" t="s">
        <v>524</v>
      </c>
      <c r="E625" s="53" t="s">
        <v>525</v>
      </c>
      <c r="F625" s="53" t="s">
        <v>526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527</v>
      </c>
      <c r="F626" s="55" t="s">
        <v>527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527</v>
      </c>
      <c r="F627" s="55" t="s">
        <v>527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527</v>
      </c>
      <c r="F628" s="55" t="s">
        <v>527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527</v>
      </c>
      <c r="F629" s="55" t="s">
        <v>527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527</v>
      </c>
      <c r="F630" s="55" t="s">
        <v>527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527</v>
      </c>
      <c r="F631" s="55" t="s">
        <v>527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527</v>
      </c>
      <c r="F632" s="55" t="s">
        <v>527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527</v>
      </c>
      <c r="F633" s="55" t="s">
        <v>527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527</v>
      </c>
      <c r="F634" s="55" t="s">
        <v>527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527</v>
      </c>
      <c r="F635" s="55" t="s">
        <v>527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527</v>
      </c>
      <c r="F636" s="55" t="s">
        <v>527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527</v>
      </c>
      <c r="F637" s="55" t="s">
        <v>527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527</v>
      </c>
      <c r="F638" s="55" t="s">
        <v>527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527</v>
      </c>
      <c r="F639" s="55" t="s">
        <v>527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527</v>
      </c>
      <c r="F640" s="55" t="s">
        <v>527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527</v>
      </c>
      <c r="F641" s="55" t="s">
        <v>527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527</v>
      </c>
      <c r="F642" s="55" t="s">
        <v>527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527</v>
      </c>
      <c r="F643" s="55" t="s">
        <v>527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527</v>
      </c>
      <c r="F644" s="55" t="s">
        <v>527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527</v>
      </c>
      <c r="F645" s="55" t="s">
        <v>527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527</v>
      </c>
      <c r="F646" s="55" t="s">
        <v>527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527</v>
      </c>
      <c r="F647" s="55" t="s">
        <v>527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527</v>
      </c>
      <c r="F648" s="55" t="s">
        <v>527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527</v>
      </c>
      <c r="F649" s="55" t="s">
        <v>527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527</v>
      </c>
      <c r="F650" s="55" t="s">
        <v>527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527</v>
      </c>
      <c r="F651" s="55" t="s">
        <v>527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527</v>
      </c>
      <c r="F652" s="55" t="s">
        <v>527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527</v>
      </c>
      <c r="F653" s="55" t="s">
        <v>527</v>
      </c>
    </row>
    <row r="654" spans="1:6">
      <c r="A654" s="56"/>
    </row>
    <row r="655" spans="1:6">
      <c r="A655" s="57" t="s">
        <v>555</v>
      </c>
    </row>
    <row r="656" spans="1:6">
      <c r="A656" s="57" t="s">
        <v>529</v>
      </c>
    </row>
    <row r="657" spans="1:6" ht="18">
      <c r="A657" s="58">
        <v>731.28</v>
      </c>
    </row>
    <row r="658" spans="1:6">
      <c r="A658" s="57" t="s">
        <v>531</v>
      </c>
    </row>
    <row r="659" spans="1:6">
      <c r="A659" s="59">
        <v>390.46</v>
      </c>
    </row>
    <row r="660" spans="1:6">
      <c r="A660" s="57" t="s">
        <v>533</v>
      </c>
    </row>
    <row r="661" spans="1:6">
      <c r="A661" s="60">
        <v>31778</v>
      </c>
    </row>
    <row r="662" spans="1:6">
      <c r="A662" s="61"/>
    </row>
    <row r="663" spans="1:6" ht="30">
      <c r="A663" s="52" t="s">
        <v>521</v>
      </c>
      <c r="B663" s="52" t="s">
        <v>522</v>
      </c>
      <c r="C663" s="52" t="s">
        <v>523</v>
      </c>
      <c r="D663" s="53" t="s">
        <v>524</v>
      </c>
      <c r="E663" s="53" t="s">
        <v>525</v>
      </c>
      <c r="F663" s="53" t="s">
        <v>526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527</v>
      </c>
      <c r="F664" s="55" t="s">
        <v>527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527</v>
      </c>
      <c r="F665" s="55" t="s">
        <v>527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527</v>
      </c>
      <c r="F666" s="55" t="s">
        <v>527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527</v>
      </c>
      <c r="F667" s="55" t="s">
        <v>527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527</v>
      </c>
      <c r="F668" s="55" t="s">
        <v>527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527</v>
      </c>
      <c r="F669" s="55" t="s">
        <v>527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527</v>
      </c>
      <c r="F670" s="55" t="s">
        <v>527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527</v>
      </c>
      <c r="F671" s="55" t="s">
        <v>527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527</v>
      </c>
      <c r="F672" s="55" t="s">
        <v>527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527</v>
      </c>
      <c r="F673" s="55" t="s">
        <v>527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527</v>
      </c>
      <c r="F674" s="55" t="s">
        <v>527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527</v>
      </c>
      <c r="F675" s="55" t="s">
        <v>527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527</v>
      </c>
      <c r="F676" s="55" t="s">
        <v>527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527</v>
      </c>
      <c r="F677" s="55" t="s">
        <v>527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527</v>
      </c>
      <c r="F678" s="55" t="s">
        <v>527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527</v>
      </c>
      <c r="F679" s="55" t="s">
        <v>527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527</v>
      </c>
      <c r="F680" s="55" t="s">
        <v>527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527</v>
      </c>
      <c r="F681" s="55" t="s">
        <v>527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527</v>
      </c>
      <c r="F682" s="55" t="s">
        <v>527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527</v>
      </c>
      <c r="F683" s="55" t="s">
        <v>527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527</v>
      </c>
      <c r="F684" s="55" t="s">
        <v>527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527</v>
      </c>
      <c r="F685" s="55" t="s">
        <v>527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527</v>
      </c>
      <c r="F686" s="55" t="s">
        <v>527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527</v>
      </c>
      <c r="F687" s="55" t="s">
        <v>527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527</v>
      </c>
      <c r="F688" s="55" t="s">
        <v>527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527</v>
      </c>
      <c r="F689" s="55" t="s">
        <v>527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527</v>
      </c>
      <c r="F690" s="55" t="s">
        <v>527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527</v>
      </c>
      <c r="F691" s="55" t="s">
        <v>527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527</v>
      </c>
      <c r="F692" s="55" t="s">
        <v>527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527</v>
      </c>
      <c r="F693" s="55" t="s">
        <v>527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527</v>
      </c>
      <c r="F694" s="55" t="s">
        <v>527</v>
      </c>
    </row>
    <row r="695" spans="1:6">
      <c r="A695" s="56"/>
    </row>
    <row r="696" spans="1:6">
      <c r="A696" s="57" t="s">
        <v>556</v>
      </c>
    </row>
    <row r="697" spans="1:6">
      <c r="A697" s="57" t="s">
        <v>529</v>
      </c>
    </row>
    <row r="698" spans="1:6" ht="18">
      <c r="A698" s="58">
        <v>721.86599999999999</v>
      </c>
    </row>
    <row r="699" spans="1:6">
      <c r="A699" s="57" t="s">
        <v>531</v>
      </c>
    </row>
    <row r="700" spans="1:6">
      <c r="A700" s="59">
        <v>380.61099999999999</v>
      </c>
    </row>
    <row r="701" spans="1:6">
      <c r="A701" s="57" t="s">
        <v>533</v>
      </c>
    </row>
    <row r="702" spans="1:6">
      <c r="A702" s="60">
        <v>32874</v>
      </c>
    </row>
    <row r="703" spans="1:6">
      <c r="A703" s="61"/>
    </row>
    <row r="704" spans="1:6" ht="30">
      <c r="A704" s="52" t="s">
        <v>521</v>
      </c>
      <c r="B704" s="52" t="s">
        <v>522</v>
      </c>
      <c r="C704" s="52" t="s">
        <v>523</v>
      </c>
      <c r="D704" s="53" t="s">
        <v>524</v>
      </c>
      <c r="E704" s="53" t="s">
        <v>525</v>
      </c>
      <c r="F704" s="53" t="s">
        <v>526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527</v>
      </c>
      <c r="F705" s="55" t="s">
        <v>527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527</v>
      </c>
      <c r="F706" s="55" t="s">
        <v>527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527</v>
      </c>
      <c r="F707" s="55" t="s">
        <v>527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527</v>
      </c>
      <c r="F708" s="55" t="s">
        <v>527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527</v>
      </c>
      <c r="F709" s="55" t="s">
        <v>527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527</v>
      </c>
      <c r="F710" s="55" t="s">
        <v>527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527</v>
      </c>
      <c r="F711" s="55" t="s">
        <v>527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527</v>
      </c>
      <c r="F712" s="55" t="s">
        <v>527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527</v>
      </c>
      <c r="F713" s="55" t="s">
        <v>527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527</v>
      </c>
      <c r="F714" s="55" t="s">
        <v>527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527</v>
      </c>
      <c r="F715" s="55" t="s">
        <v>527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527</v>
      </c>
      <c r="F716" s="55" t="s">
        <v>527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527</v>
      </c>
      <c r="F717" s="55" t="s">
        <v>527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527</v>
      </c>
      <c r="F718" s="55" t="s">
        <v>527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527</v>
      </c>
      <c r="F719" s="55" t="s">
        <v>527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527</v>
      </c>
      <c r="F720" s="55" t="s">
        <v>527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527</v>
      </c>
      <c r="F721" s="55" t="s">
        <v>527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527</v>
      </c>
      <c r="F722" s="55" t="s">
        <v>527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527</v>
      </c>
      <c r="F723" s="55" t="s">
        <v>527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527</v>
      </c>
      <c r="F724" s="55" t="s">
        <v>527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527</v>
      </c>
      <c r="F725" s="55" t="s">
        <v>527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527</v>
      </c>
      <c r="F726" s="55" t="s">
        <v>527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527</v>
      </c>
      <c r="F727" s="55" t="s">
        <v>527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527</v>
      </c>
      <c r="F728" s="55" t="s">
        <v>527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527</v>
      </c>
      <c r="F729" s="55" t="s">
        <v>527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527</v>
      </c>
      <c r="F730" s="55" t="s">
        <v>527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527</v>
      </c>
      <c r="F731" s="55" t="s">
        <v>527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527</v>
      </c>
      <c r="F732" s="55" t="s">
        <v>527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527</v>
      </c>
      <c r="F733" s="55" t="s">
        <v>527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527</v>
      </c>
      <c r="F734" s="55" t="s">
        <v>527</v>
      </c>
    </row>
    <row r="735" spans="1:6">
      <c r="A735" s="56"/>
    </row>
    <row r="736" spans="1:6">
      <c r="A736" s="57" t="s">
        <v>557</v>
      </c>
    </row>
    <row r="737" spans="1:6">
      <c r="A737" s="57" t="s">
        <v>529</v>
      </c>
    </row>
    <row r="738" spans="1:6" ht="18">
      <c r="A738" s="58">
        <v>704.86800000000005</v>
      </c>
    </row>
    <row r="739" spans="1:6">
      <c r="A739" s="57" t="s">
        <v>531</v>
      </c>
    </row>
    <row r="740" spans="1:6">
      <c r="A740" s="59">
        <v>387.95400000000001</v>
      </c>
    </row>
    <row r="741" spans="1:6">
      <c r="A741" s="57" t="s">
        <v>533</v>
      </c>
    </row>
    <row r="742" spans="1:6">
      <c r="A742" s="60">
        <v>29952</v>
      </c>
    </row>
    <row r="743" spans="1:6">
      <c r="A743" s="61"/>
    </row>
    <row r="744" spans="1:6" ht="30">
      <c r="A744" s="52" t="s">
        <v>521</v>
      </c>
      <c r="B744" s="52" t="s">
        <v>522</v>
      </c>
      <c r="C744" s="52" t="s">
        <v>523</v>
      </c>
      <c r="D744" s="53" t="s">
        <v>524</v>
      </c>
      <c r="E744" s="53" t="s">
        <v>525</v>
      </c>
      <c r="F744" s="53" t="s">
        <v>526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527</v>
      </c>
      <c r="F745" s="55" t="s">
        <v>527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527</v>
      </c>
      <c r="F746" s="55" t="s">
        <v>527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527</v>
      </c>
      <c r="F747" s="55" t="s">
        <v>527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527</v>
      </c>
      <c r="F748" s="55" t="s">
        <v>527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527</v>
      </c>
      <c r="F749" s="55" t="s">
        <v>527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527</v>
      </c>
      <c r="F750" s="55" t="s">
        <v>527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527</v>
      </c>
      <c r="F751" s="55" t="s">
        <v>527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527</v>
      </c>
      <c r="F752" s="55" t="s">
        <v>527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527</v>
      </c>
      <c r="F753" s="55" t="s">
        <v>527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527</v>
      </c>
      <c r="F754" s="55" t="s">
        <v>527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527</v>
      </c>
      <c r="F755" s="55" t="s">
        <v>527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527</v>
      </c>
      <c r="F756" s="55" t="s">
        <v>527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527</v>
      </c>
      <c r="F757" s="55" t="s">
        <v>527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527</v>
      </c>
      <c r="F758" s="55" t="s">
        <v>527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527</v>
      </c>
      <c r="F759" s="55" t="s">
        <v>527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527</v>
      </c>
      <c r="F760" s="55" t="s">
        <v>527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527</v>
      </c>
      <c r="F761" s="55" t="s">
        <v>527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527</v>
      </c>
      <c r="F762" s="55" t="s">
        <v>527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527</v>
      </c>
      <c r="F763" s="55" t="s">
        <v>527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527</v>
      </c>
      <c r="F764" s="55" t="s">
        <v>527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527</v>
      </c>
      <c r="F765" s="55" t="s">
        <v>527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527</v>
      </c>
      <c r="F766" s="55" t="s">
        <v>527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527</v>
      </c>
      <c r="F767" s="55" t="s">
        <v>527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527</v>
      </c>
      <c r="F768" s="55" t="s">
        <v>527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527</v>
      </c>
      <c r="F769" s="55" t="s">
        <v>527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527</v>
      </c>
      <c r="F770" s="55" t="s">
        <v>527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527</v>
      </c>
      <c r="F771" s="55" t="s">
        <v>527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527</v>
      </c>
      <c r="F772" s="55" t="s">
        <v>527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527</v>
      </c>
      <c r="F773" s="55" t="s">
        <v>527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527</v>
      </c>
      <c r="F774" s="55" t="s">
        <v>527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527</v>
      </c>
      <c r="F775" s="55" t="s">
        <v>527</v>
      </c>
    </row>
    <row r="776" spans="1:6">
      <c r="A776" s="56"/>
    </row>
    <row r="777" spans="1:6">
      <c r="A777" s="57" t="s">
        <v>558</v>
      </c>
    </row>
    <row r="778" spans="1:6">
      <c r="A778" s="57" t="s">
        <v>529</v>
      </c>
    </row>
    <row r="779" spans="1:6" ht="18">
      <c r="A779" s="58">
        <v>706.63400000000001</v>
      </c>
    </row>
    <row r="780" spans="1:6">
      <c r="A780" s="57" t="s">
        <v>531</v>
      </c>
    </row>
    <row r="781" spans="1:6">
      <c r="A781" s="59">
        <v>397.791</v>
      </c>
    </row>
    <row r="782" spans="1:6">
      <c r="A782" s="57" t="s">
        <v>533</v>
      </c>
    </row>
    <row r="783" spans="1:6">
      <c r="A783" s="60">
        <v>28491</v>
      </c>
    </row>
    <row r="784" spans="1:6">
      <c r="A784" s="61"/>
    </row>
    <row r="785" spans="1:6" ht="30">
      <c r="A785" s="52" t="s">
        <v>521</v>
      </c>
      <c r="B785" s="52" t="s">
        <v>522</v>
      </c>
      <c r="C785" s="52" t="s">
        <v>523</v>
      </c>
      <c r="D785" s="53" t="s">
        <v>524</v>
      </c>
      <c r="E785" s="53" t="s">
        <v>525</v>
      </c>
      <c r="F785" s="53" t="s">
        <v>526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527</v>
      </c>
      <c r="F786" s="55" t="s">
        <v>527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527</v>
      </c>
      <c r="F787" s="55" t="s">
        <v>527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527</v>
      </c>
      <c r="F788" s="55" t="s">
        <v>527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527</v>
      </c>
      <c r="F789" s="55" t="s">
        <v>527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527</v>
      </c>
      <c r="F790" s="55" t="s">
        <v>527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527</v>
      </c>
      <c r="F791" s="55" t="s">
        <v>527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527</v>
      </c>
      <c r="F792" s="55" t="s">
        <v>527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527</v>
      </c>
      <c r="F793" s="55" t="s">
        <v>527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527</v>
      </c>
      <c r="F794" s="55" t="s">
        <v>527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527</v>
      </c>
      <c r="F795" s="55" t="s">
        <v>527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527</v>
      </c>
      <c r="F796" s="55" t="s">
        <v>527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527</v>
      </c>
      <c r="F797" s="55" t="s">
        <v>527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527</v>
      </c>
      <c r="F798" s="55" t="s">
        <v>527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527</v>
      </c>
      <c r="F799" s="55" t="s">
        <v>527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527</v>
      </c>
      <c r="F800" s="55" t="s">
        <v>527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527</v>
      </c>
      <c r="F801" s="55" t="s">
        <v>527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527</v>
      </c>
      <c r="F802" s="55" t="s">
        <v>527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527</v>
      </c>
      <c r="F803" s="55" t="s">
        <v>527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527</v>
      </c>
      <c r="F804" s="55" t="s">
        <v>527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527</v>
      </c>
      <c r="F805" s="55" t="s">
        <v>527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527</v>
      </c>
      <c r="F806" s="55" t="s">
        <v>527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527</v>
      </c>
      <c r="F807" s="55" t="s">
        <v>527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527</v>
      </c>
      <c r="F808" s="55" t="s">
        <v>527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527</v>
      </c>
      <c r="F809" s="55" t="s">
        <v>527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527</v>
      </c>
      <c r="F810" s="55" t="s">
        <v>527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527</v>
      </c>
      <c r="F811" s="55" t="s">
        <v>527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527</v>
      </c>
      <c r="F812" s="55" t="s">
        <v>527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527</v>
      </c>
      <c r="F813" s="55" t="s">
        <v>527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527</v>
      </c>
      <c r="F814" s="55" t="s">
        <v>527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527</v>
      </c>
      <c r="F815" s="55" t="s">
        <v>527</v>
      </c>
    </row>
    <row r="816" spans="1:6">
      <c r="A816" s="56"/>
    </row>
    <row r="817" spans="1:6">
      <c r="A817" s="57" t="s">
        <v>559</v>
      </c>
    </row>
    <row r="818" spans="1:6">
      <c r="A818" s="57" t="s">
        <v>529</v>
      </c>
    </row>
    <row r="819" spans="1:6" ht="18">
      <c r="A819" s="58" t="s">
        <v>560</v>
      </c>
    </row>
    <row r="820" spans="1:6">
      <c r="A820" s="57" t="s">
        <v>531</v>
      </c>
    </row>
    <row r="821" spans="1:6">
      <c r="A821" s="59">
        <v>542.30600000000004</v>
      </c>
    </row>
    <row r="822" spans="1:6">
      <c r="A822" s="57" t="s">
        <v>533</v>
      </c>
    </row>
    <row r="823" spans="1:6">
      <c r="A823" s="60">
        <v>33604</v>
      </c>
    </row>
    <row r="824" spans="1:6">
      <c r="A824" s="61"/>
    </row>
    <row r="825" spans="1:6" ht="30">
      <c r="A825" s="52" t="s">
        <v>521</v>
      </c>
      <c r="B825" s="52" t="s">
        <v>522</v>
      </c>
      <c r="C825" s="52" t="s">
        <v>523</v>
      </c>
      <c r="D825" s="53" t="s">
        <v>524</v>
      </c>
      <c r="E825" s="53" t="s">
        <v>525</v>
      </c>
      <c r="F825" s="53" t="s">
        <v>526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527</v>
      </c>
      <c r="F826" s="55" t="s">
        <v>527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527</v>
      </c>
      <c r="F827" s="55" t="s">
        <v>527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527</v>
      </c>
      <c r="F828" s="55" t="s">
        <v>527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527</v>
      </c>
      <c r="F829" s="55" t="s">
        <v>527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527</v>
      </c>
      <c r="F830" s="55" t="s">
        <v>527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527</v>
      </c>
      <c r="F831" s="55" t="s">
        <v>527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527</v>
      </c>
      <c r="F832" s="55" t="s">
        <v>527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527</v>
      </c>
      <c r="F833" s="55" t="s">
        <v>527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527</v>
      </c>
      <c r="F834" s="55" t="s">
        <v>527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527</v>
      </c>
      <c r="F835" s="55" t="s">
        <v>527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527</v>
      </c>
      <c r="F836" s="55" t="s">
        <v>527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527</v>
      </c>
      <c r="F837" s="55" t="s">
        <v>527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527</v>
      </c>
      <c r="F838" s="55" t="s">
        <v>527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527</v>
      </c>
      <c r="F839" s="55" t="s">
        <v>527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527</v>
      </c>
      <c r="F840" s="55" t="s">
        <v>527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527</v>
      </c>
      <c r="F841" s="55" t="s">
        <v>527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527</v>
      </c>
      <c r="F842" s="55" t="s">
        <v>527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527</v>
      </c>
      <c r="F843" s="55" t="s">
        <v>527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527</v>
      </c>
      <c r="F844" s="55" t="s">
        <v>527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527</v>
      </c>
      <c r="F845" s="55" t="s">
        <v>527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527</v>
      </c>
      <c r="F846" s="55" t="s">
        <v>527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527</v>
      </c>
      <c r="F847" s="55" t="s">
        <v>527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527</v>
      </c>
      <c r="F848" s="55" t="s">
        <v>527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527</v>
      </c>
      <c r="F849" s="55" t="s">
        <v>527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527</v>
      </c>
      <c r="F850" s="55" t="s">
        <v>527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527</v>
      </c>
      <c r="F851" s="55" t="s">
        <v>527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527</v>
      </c>
      <c r="F852" s="55" t="s">
        <v>527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527</v>
      </c>
      <c r="F853" s="55" t="s">
        <v>527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527</v>
      </c>
      <c r="F854" s="55" t="s">
        <v>527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527</v>
      </c>
      <c r="F855" s="55" t="s">
        <v>527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527</v>
      </c>
      <c r="F856" s="55" t="s">
        <v>527</v>
      </c>
    </row>
    <row r="857" spans="1:6">
      <c r="A857" s="56"/>
    </row>
    <row r="858" spans="1:6">
      <c r="A858" s="57" t="s">
        <v>561</v>
      </c>
    </row>
    <row r="859" spans="1:6">
      <c r="A859" s="57" t="s">
        <v>529</v>
      </c>
    </row>
    <row r="860" spans="1:6" ht="18">
      <c r="A860" s="58" t="s">
        <v>562</v>
      </c>
    </row>
    <row r="861" spans="1:6">
      <c r="A861" s="57" t="s">
        <v>531</v>
      </c>
    </row>
    <row r="862" spans="1:6">
      <c r="A862" s="59">
        <v>556.20699999999999</v>
      </c>
    </row>
    <row r="863" spans="1:6">
      <c r="A863" s="57" t="s">
        <v>533</v>
      </c>
    </row>
    <row r="864" spans="1:6">
      <c r="A864" s="60">
        <v>33970</v>
      </c>
    </row>
    <row r="865" spans="1:6">
      <c r="A865" s="61"/>
    </row>
    <row r="866" spans="1:6" ht="30">
      <c r="A866" s="52" t="s">
        <v>521</v>
      </c>
      <c r="B866" s="52" t="s">
        <v>522</v>
      </c>
      <c r="C866" s="52" t="s">
        <v>523</v>
      </c>
      <c r="D866" s="53" t="s">
        <v>524</v>
      </c>
      <c r="E866" s="53" t="s">
        <v>525</v>
      </c>
      <c r="F866" s="53" t="s">
        <v>526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527</v>
      </c>
      <c r="F867" s="55" t="s">
        <v>527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527</v>
      </c>
      <c r="F868" s="55" t="s">
        <v>527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527</v>
      </c>
      <c r="F869" s="55" t="s">
        <v>527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527</v>
      </c>
      <c r="F870" s="55" t="s">
        <v>527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527</v>
      </c>
      <c r="F871" s="55" t="s">
        <v>527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527</v>
      </c>
      <c r="F872" s="55" t="s">
        <v>527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527</v>
      </c>
      <c r="F873" s="55" t="s">
        <v>527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527</v>
      </c>
      <c r="F874" s="55" t="s">
        <v>527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527</v>
      </c>
      <c r="F875" s="55" t="s">
        <v>527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527</v>
      </c>
      <c r="F876" s="55" t="s">
        <v>527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527</v>
      </c>
      <c r="F877" s="55" t="s">
        <v>527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527</v>
      </c>
      <c r="F878" s="55" t="s">
        <v>527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527</v>
      </c>
      <c r="F879" s="55" t="s">
        <v>527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527</v>
      </c>
      <c r="F880" s="55" t="s">
        <v>527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527</v>
      </c>
      <c r="F881" s="55" t="s">
        <v>527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527</v>
      </c>
      <c r="F882" s="55" t="s">
        <v>527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527</v>
      </c>
      <c r="F883" s="55" t="s">
        <v>527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527</v>
      </c>
      <c r="F884" s="55" t="s">
        <v>527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527</v>
      </c>
      <c r="F885" s="55" t="s">
        <v>527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527</v>
      </c>
      <c r="F886" s="55" t="s">
        <v>527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527</v>
      </c>
      <c r="F887" s="55" t="s">
        <v>527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527</v>
      </c>
      <c r="F888" s="55" t="s">
        <v>527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527</v>
      </c>
      <c r="F889" s="55" t="s">
        <v>527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527</v>
      </c>
      <c r="F890" s="55" t="s">
        <v>527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527</v>
      </c>
      <c r="F891" s="55" t="s">
        <v>527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527</v>
      </c>
      <c r="F892" s="55" t="s">
        <v>527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527</v>
      </c>
      <c r="F893" s="55" t="s">
        <v>527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527</v>
      </c>
      <c r="F894" s="55" t="s">
        <v>527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527</v>
      </c>
      <c r="F895" s="55" t="s">
        <v>527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527</v>
      </c>
      <c r="F896" s="55" t="s">
        <v>527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527</v>
      </c>
      <c r="F897" s="55" t="s">
        <v>527</v>
      </c>
    </row>
    <row r="898" spans="1:6">
      <c r="A898" s="56"/>
    </row>
    <row r="899" spans="1:6">
      <c r="A899" s="57" t="s">
        <v>563</v>
      </c>
    </row>
    <row r="900" spans="1:6">
      <c r="A900" s="57" t="s">
        <v>529</v>
      </c>
    </row>
    <row r="901" spans="1:6" ht="18">
      <c r="A901" s="58">
        <v>853.673</v>
      </c>
    </row>
    <row r="902" spans="1:6">
      <c r="A902" s="57" t="s">
        <v>531</v>
      </c>
    </row>
    <row r="903" spans="1:6">
      <c r="A903" s="59">
        <v>457.90300000000002</v>
      </c>
    </row>
    <row r="904" spans="1:6">
      <c r="A904" s="57" t="s">
        <v>533</v>
      </c>
    </row>
    <row r="905" spans="1:6">
      <c r="A905" s="60">
        <v>31413</v>
      </c>
    </row>
    <row r="906" spans="1:6">
      <c r="A906" s="61"/>
    </row>
    <row r="907" spans="1:6" ht="30">
      <c r="A907" s="52" t="s">
        <v>521</v>
      </c>
      <c r="B907" s="52" t="s">
        <v>522</v>
      </c>
      <c r="C907" s="52" t="s">
        <v>523</v>
      </c>
      <c r="D907" s="53" t="s">
        <v>524</v>
      </c>
      <c r="E907" s="53" t="s">
        <v>525</v>
      </c>
      <c r="F907" s="53" t="s">
        <v>526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527</v>
      </c>
      <c r="F908" s="55" t="s">
        <v>527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527</v>
      </c>
      <c r="F909" s="55" t="s">
        <v>527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527</v>
      </c>
      <c r="F910" s="55" t="s">
        <v>527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527</v>
      </c>
      <c r="F911" s="55" t="s">
        <v>527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527</v>
      </c>
      <c r="F912" s="55" t="s">
        <v>527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527</v>
      </c>
      <c r="F913" s="55" t="s">
        <v>527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527</v>
      </c>
      <c r="F914" s="55" t="s">
        <v>527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527</v>
      </c>
      <c r="F915" s="55" t="s">
        <v>527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527</v>
      </c>
      <c r="F916" s="55" t="s">
        <v>527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527</v>
      </c>
      <c r="F917" s="55" t="s">
        <v>527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527</v>
      </c>
      <c r="F918" s="55" t="s">
        <v>527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527</v>
      </c>
      <c r="F919" s="55" t="s">
        <v>527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527</v>
      </c>
      <c r="F920" s="55" t="s">
        <v>527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527</v>
      </c>
      <c r="F921" s="55" t="s">
        <v>527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527</v>
      </c>
      <c r="F922" s="55" t="s">
        <v>527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527</v>
      </c>
      <c r="F923" s="55" t="s">
        <v>527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527</v>
      </c>
      <c r="F924" s="55" t="s">
        <v>527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527</v>
      </c>
      <c r="F925" s="55" t="s">
        <v>527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527</v>
      </c>
      <c r="F926" s="55" t="s">
        <v>527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527</v>
      </c>
      <c r="F927" s="55" t="s">
        <v>527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527</v>
      </c>
      <c r="F928" s="55" t="s">
        <v>527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527</v>
      </c>
      <c r="F929" s="55" t="s">
        <v>527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527</v>
      </c>
      <c r="F930" s="55" t="s">
        <v>527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527</v>
      </c>
      <c r="F931" s="55" t="s">
        <v>527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527</v>
      </c>
      <c r="F932" s="55" t="s">
        <v>527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527</v>
      </c>
      <c r="F933" s="55" t="s">
        <v>527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527</v>
      </c>
      <c r="F934" s="55" t="s">
        <v>527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527</v>
      </c>
      <c r="F935" s="55" t="s">
        <v>527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527</v>
      </c>
      <c r="F936" s="55" t="s">
        <v>527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527</v>
      </c>
      <c r="F937" s="55" t="s">
        <v>527</v>
      </c>
    </row>
    <row r="938" spans="1:6">
      <c r="A938" s="56"/>
    </row>
    <row r="939" spans="1:6">
      <c r="A939" s="57" t="s">
        <v>564</v>
      </c>
    </row>
    <row r="940" spans="1:6">
      <c r="A940" s="57" t="s">
        <v>529</v>
      </c>
    </row>
    <row r="941" spans="1:6" ht="18">
      <c r="A941" s="58">
        <v>787.46699999999998</v>
      </c>
    </row>
    <row r="942" spans="1:6">
      <c r="A942" s="57" t="s">
        <v>531</v>
      </c>
    </row>
    <row r="943" spans="1:6">
      <c r="A943" s="59">
        <v>397.8</v>
      </c>
    </row>
    <row r="944" spans="1:6">
      <c r="A944" s="57" t="s">
        <v>533</v>
      </c>
    </row>
    <row r="945" spans="1:6">
      <c r="A945" s="60">
        <v>35796</v>
      </c>
    </row>
    <row r="946" spans="1:6">
      <c r="A946" s="61"/>
    </row>
    <row r="947" spans="1:6" ht="30">
      <c r="A947" s="52" t="s">
        <v>521</v>
      </c>
      <c r="B947" s="52" t="s">
        <v>522</v>
      </c>
      <c r="C947" s="52" t="s">
        <v>523</v>
      </c>
      <c r="D947" s="53" t="s">
        <v>524</v>
      </c>
      <c r="E947" s="53" t="s">
        <v>525</v>
      </c>
      <c r="F947" s="53" t="s">
        <v>526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527</v>
      </c>
      <c r="F948" s="55" t="s">
        <v>527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527</v>
      </c>
      <c r="F949" s="55" t="s">
        <v>527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527</v>
      </c>
      <c r="F950" s="55" t="s">
        <v>527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527</v>
      </c>
      <c r="F951" s="55" t="s">
        <v>527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527</v>
      </c>
      <c r="F952" s="55" t="s">
        <v>527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527</v>
      </c>
      <c r="F953" s="55" t="s">
        <v>527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527</v>
      </c>
      <c r="F954" s="55" t="s">
        <v>527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527</v>
      </c>
      <c r="F955" s="55" t="s">
        <v>527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527</v>
      </c>
      <c r="F956" s="55" t="s">
        <v>527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527</v>
      </c>
      <c r="F957" s="55" t="s">
        <v>527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527</v>
      </c>
      <c r="F958" s="55" t="s">
        <v>527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527</v>
      </c>
      <c r="F959" s="55" t="s">
        <v>527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527</v>
      </c>
      <c r="F960" s="55" t="s">
        <v>527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527</v>
      </c>
      <c r="F961" s="55" t="s">
        <v>527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527</v>
      </c>
      <c r="F962" s="55" t="s">
        <v>527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527</v>
      </c>
      <c r="F963" s="55" t="s">
        <v>527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527</v>
      </c>
      <c r="F964" s="55" t="s">
        <v>527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527</v>
      </c>
      <c r="F965" s="55" t="s">
        <v>527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527</v>
      </c>
      <c r="F966" s="55" t="s">
        <v>527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527</v>
      </c>
      <c r="F967" s="55" t="s">
        <v>527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527</v>
      </c>
      <c r="F968" s="55" t="s">
        <v>527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527</v>
      </c>
      <c r="F969" s="55" t="s">
        <v>527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527</v>
      </c>
      <c r="F970" s="55" t="s">
        <v>527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527</v>
      </c>
      <c r="F971" s="55" t="s">
        <v>527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527</v>
      </c>
      <c r="F972" s="55" t="s">
        <v>527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527</v>
      </c>
      <c r="F973" s="55" t="s">
        <v>527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527</v>
      </c>
      <c r="F974" s="55" t="s">
        <v>527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527</v>
      </c>
      <c r="F975" s="55" t="s">
        <v>527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527</v>
      </c>
      <c r="F976" s="55" t="s">
        <v>527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527</v>
      </c>
      <c r="F977" s="55" t="s">
        <v>527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527</v>
      </c>
      <c r="F978" s="55" t="s">
        <v>527</v>
      </c>
    </row>
    <row r="979" spans="1:6">
      <c r="A979" s="56"/>
    </row>
    <row r="980" spans="1:6">
      <c r="A980" s="57" t="s">
        <v>565</v>
      </c>
    </row>
    <row r="981" spans="1:6">
      <c r="A981" s="57" t="s">
        <v>529</v>
      </c>
    </row>
    <row r="982" spans="1:6" ht="18">
      <c r="A982" s="58">
        <v>751.53200000000004</v>
      </c>
    </row>
    <row r="983" spans="1:6">
      <c r="A983" s="57" t="s">
        <v>531</v>
      </c>
    </row>
    <row r="984" spans="1:6">
      <c r="A984" s="59">
        <v>386.14400000000001</v>
      </c>
    </row>
    <row r="985" spans="1:6">
      <c r="A985" s="57" t="s">
        <v>533</v>
      </c>
    </row>
    <row r="986" spans="1:6">
      <c r="A986" s="60">
        <v>34700</v>
      </c>
    </row>
    <row r="987" spans="1:6">
      <c r="A987" s="61"/>
    </row>
    <row r="988" spans="1:6" ht="30">
      <c r="A988" s="52" t="s">
        <v>521</v>
      </c>
      <c r="B988" s="52" t="s">
        <v>522</v>
      </c>
      <c r="C988" s="52" t="s">
        <v>523</v>
      </c>
      <c r="D988" s="53" t="s">
        <v>524</v>
      </c>
      <c r="E988" s="53" t="s">
        <v>525</v>
      </c>
      <c r="F988" s="53" t="s">
        <v>526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527</v>
      </c>
      <c r="F989" s="55" t="s">
        <v>527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527</v>
      </c>
      <c r="F990" s="55" t="s">
        <v>527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527</v>
      </c>
      <c r="F991" s="55" t="s">
        <v>527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527</v>
      </c>
      <c r="F992" s="55" t="s">
        <v>527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527</v>
      </c>
      <c r="F993" s="55" t="s">
        <v>527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527</v>
      </c>
      <c r="F994" s="55" t="s">
        <v>527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527</v>
      </c>
      <c r="F995" s="55" t="s">
        <v>527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527</v>
      </c>
      <c r="F996" s="55" t="s">
        <v>527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527</v>
      </c>
      <c r="F997" s="55" t="s">
        <v>527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527</v>
      </c>
      <c r="F998" s="55" t="s">
        <v>527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527</v>
      </c>
      <c r="F999" s="55" t="s">
        <v>527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527</v>
      </c>
      <c r="F1000" s="55" t="s">
        <v>527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527</v>
      </c>
      <c r="F1001" s="55" t="s">
        <v>527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527</v>
      </c>
      <c r="F1002" s="55" t="s">
        <v>527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527</v>
      </c>
      <c r="F1003" s="55" t="s">
        <v>527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527</v>
      </c>
      <c r="F1004" s="55" t="s">
        <v>527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527</v>
      </c>
      <c r="F1005" s="55" t="s">
        <v>527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527</v>
      </c>
      <c r="F1006" s="55" t="s">
        <v>527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527</v>
      </c>
      <c r="F1007" s="55" t="s">
        <v>527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527</v>
      </c>
      <c r="F1008" s="55" t="s">
        <v>527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527</v>
      </c>
      <c r="F1009" s="55" t="s">
        <v>527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527</v>
      </c>
      <c r="F1010" s="55" t="s">
        <v>527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527</v>
      </c>
      <c r="F1011" s="55" t="s">
        <v>527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527</v>
      </c>
      <c r="F1012" s="55" t="s">
        <v>527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527</v>
      </c>
      <c r="F1013" s="55" t="s">
        <v>527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527</v>
      </c>
      <c r="F1014" s="55" t="s">
        <v>527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527</v>
      </c>
      <c r="F1015" s="55" t="s">
        <v>527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527</v>
      </c>
      <c r="F1016" s="55" t="s">
        <v>527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527</v>
      </c>
      <c r="F1017" s="55" t="s">
        <v>527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527</v>
      </c>
      <c r="F1018" s="55" t="s">
        <v>527</v>
      </c>
    </row>
    <row r="1019" spans="1:6">
      <c r="A1019" s="56"/>
    </row>
    <row r="1020" spans="1:6">
      <c r="A1020" s="57" t="s">
        <v>566</v>
      </c>
    </row>
    <row r="1021" spans="1:6">
      <c r="A1021" s="57" t="s">
        <v>529</v>
      </c>
    </row>
    <row r="1022" spans="1:6" ht="18">
      <c r="A1022" s="58">
        <v>770.06500000000005</v>
      </c>
    </row>
    <row r="1023" spans="1:6">
      <c r="A1023" s="57" t="s">
        <v>531</v>
      </c>
    </row>
    <row r="1024" spans="1:6">
      <c r="A1024" s="59">
        <v>396.012</v>
      </c>
    </row>
    <row r="1025" spans="1:6">
      <c r="A1025" s="57" t="s">
        <v>533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521</v>
      </c>
      <c r="B1028" s="52" t="s">
        <v>522</v>
      </c>
      <c r="C1028" s="52" t="s">
        <v>523</v>
      </c>
      <c r="D1028" s="53" t="s">
        <v>524</v>
      </c>
      <c r="E1028" s="53" t="s">
        <v>525</v>
      </c>
      <c r="F1028" s="53" t="s">
        <v>526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527</v>
      </c>
      <c r="F1029" s="55" t="s">
        <v>527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527</v>
      </c>
      <c r="F1030" s="55" t="s">
        <v>527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527</v>
      </c>
      <c r="F1031" s="55" t="s">
        <v>527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527</v>
      </c>
      <c r="F1032" s="55" t="s">
        <v>527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527</v>
      </c>
      <c r="F1033" s="55" t="s">
        <v>527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527</v>
      </c>
      <c r="F1034" s="55" t="s">
        <v>527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527</v>
      </c>
      <c r="F1035" s="55" t="s">
        <v>527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527</v>
      </c>
      <c r="F1036" s="55" t="s">
        <v>527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527</v>
      </c>
      <c r="F1037" s="55" t="s">
        <v>527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527</v>
      </c>
      <c r="F1038" s="55" t="s">
        <v>527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527</v>
      </c>
      <c r="F1039" s="55" t="s">
        <v>527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527</v>
      </c>
      <c r="F1040" s="55" t="s">
        <v>527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527</v>
      </c>
      <c r="F1041" s="55" t="s">
        <v>527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527</v>
      </c>
      <c r="F1042" s="55" t="s">
        <v>527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527</v>
      </c>
      <c r="F1043" s="55" t="s">
        <v>527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527</v>
      </c>
      <c r="F1044" s="55" t="s">
        <v>527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527</v>
      </c>
      <c r="F1045" s="55" t="s">
        <v>527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527</v>
      </c>
      <c r="F1046" s="55" t="s">
        <v>527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527</v>
      </c>
      <c r="F1047" s="55" t="s">
        <v>527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527</v>
      </c>
      <c r="F1048" s="55" t="s">
        <v>527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527</v>
      </c>
      <c r="F1049" s="55" t="s">
        <v>527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527</v>
      </c>
      <c r="F1050" s="55" t="s">
        <v>527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527</v>
      </c>
      <c r="F1051" s="55" t="s">
        <v>527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527</v>
      </c>
      <c r="F1052" s="55" t="s">
        <v>527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527</v>
      </c>
      <c r="F1053" s="55" t="s">
        <v>527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527</v>
      </c>
      <c r="F1054" s="55" t="s">
        <v>527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527</v>
      </c>
      <c r="F1055" s="55" t="s">
        <v>527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527</v>
      </c>
      <c r="F1056" s="55" t="s">
        <v>527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527</v>
      </c>
      <c r="F1057" s="55" t="s">
        <v>527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527</v>
      </c>
      <c r="F1058" s="55" t="s">
        <v>527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527</v>
      </c>
      <c r="F1059" s="55" t="s">
        <v>527</v>
      </c>
    </row>
    <row r="1060" spans="1:6">
      <c r="A1060" s="56"/>
    </row>
    <row r="1061" spans="1:6">
      <c r="A1061" s="57" t="s">
        <v>567</v>
      </c>
    </row>
    <row r="1062" spans="1:6">
      <c r="A1062" s="57" t="s">
        <v>529</v>
      </c>
    </row>
    <row r="1063" spans="1:6" ht="18">
      <c r="A1063" s="58">
        <v>680.93299999999999</v>
      </c>
    </row>
    <row r="1064" spans="1:6">
      <c r="A1064" s="57" t="s">
        <v>531</v>
      </c>
    </row>
    <row r="1065" spans="1:6">
      <c r="A1065" s="59">
        <v>354.267</v>
      </c>
    </row>
    <row r="1066" spans="1:6">
      <c r="A1066" s="57" t="s">
        <v>533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521</v>
      </c>
      <c r="B1069" s="52" t="s">
        <v>522</v>
      </c>
      <c r="C1069" s="52" t="s">
        <v>523</v>
      </c>
      <c r="D1069" s="53" t="s">
        <v>524</v>
      </c>
      <c r="E1069" s="53" t="s">
        <v>525</v>
      </c>
      <c r="F1069" s="53" t="s">
        <v>526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527</v>
      </c>
      <c r="F1070" s="55" t="s">
        <v>527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527</v>
      </c>
      <c r="F1071" s="55" t="s">
        <v>527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527</v>
      </c>
      <c r="F1072" s="55" t="s">
        <v>527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527</v>
      </c>
      <c r="F1073" s="55" t="s">
        <v>527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527</v>
      </c>
      <c r="F1074" s="55" t="s">
        <v>527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527</v>
      </c>
      <c r="F1075" s="55" t="s">
        <v>527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527</v>
      </c>
      <c r="F1076" s="55" t="s">
        <v>527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527</v>
      </c>
      <c r="F1077" s="55" t="s">
        <v>527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527</v>
      </c>
      <c r="F1078" s="55" t="s">
        <v>527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527</v>
      </c>
      <c r="F1079" s="55" t="s">
        <v>527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527</v>
      </c>
      <c r="F1080" s="55" t="s">
        <v>527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527</v>
      </c>
      <c r="F1081" s="55" t="s">
        <v>527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527</v>
      </c>
      <c r="F1082" s="55" t="s">
        <v>527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527</v>
      </c>
      <c r="F1083" s="55" t="s">
        <v>527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527</v>
      </c>
      <c r="F1084" s="55" t="s">
        <v>527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527</v>
      </c>
      <c r="F1085" s="55" t="s">
        <v>527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527</v>
      </c>
      <c r="F1086" s="55" t="s">
        <v>527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527</v>
      </c>
      <c r="F1087" s="55" t="s">
        <v>527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527</v>
      </c>
      <c r="F1088" s="55" t="s">
        <v>527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527</v>
      </c>
      <c r="F1089" s="55" t="s">
        <v>527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527</v>
      </c>
      <c r="F1090" s="55" t="s">
        <v>527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527</v>
      </c>
      <c r="F1091" s="55" t="s">
        <v>527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527</v>
      </c>
      <c r="F1092" s="55" t="s">
        <v>527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527</v>
      </c>
      <c r="F1093" s="55" t="s">
        <v>527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527</v>
      </c>
      <c r="F1094" s="55" t="s">
        <v>527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527</v>
      </c>
      <c r="F1095" s="55" t="s">
        <v>527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527</v>
      </c>
      <c r="F1096" s="55" t="s">
        <v>527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527</v>
      </c>
      <c r="F1097" s="55" t="s">
        <v>527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527</v>
      </c>
      <c r="F1098" s="55" t="s">
        <v>527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527</v>
      </c>
      <c r="F1099" s="55" t="s">
        <v>527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527</v>
      </c>
      <c r="F1100" s="55" t="s">
        <v>527</v>
      </c>
    </row>
    <row r="1101" spans="1:6">
      <c r="A1101" s="56"/>
    </row>
    <row r="1102" spans="1:6">
      <c r="A1102" s="57" t="s">
        <v>568</v>
      </c>
    </row>
    <row r="1103" spans="1:6">
      <c r="A1103" s="57" t="s">
        <v>529</v>
      </c>
    </row>
    <row r="1104" spans="1:6" ht="18">
      <c r="A1104" s="58">
        <v>680.40200000000004</v>
      </c>
    </row>
    <row r="1105" spans="1:6">
      <c r="A1105" s="57" t="s">
        <v>531</v>
      </c>
    </row>
    <row r="1106" spans="1:6">
      <c r="A1106" s="59">
        <v>368.78300000000002</v>
      </c>
    </row>
    <row r="1107" spans="1:6">
      <c r="A1107" s="57" t="s">
        <v>533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521</v>
      </c>
      <c r="B1110" s="52" t="s">
        <v>522</v>
      </c>
      <c r="C1110" s="52" t="s">
        <v>523</v>
      </c>
      <c r="D1110" s="53" t="s">
        <v>524</v>
      </c>
      <c r="E1110" s="53" t="s">
        <v>525</v>
      </c>
      <c r="F1110" s="53" t="s">
        <v>526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527</v>
      </c>
      <c r="F1111" s="55" t="s">
        <v>527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527</v>
      </c>
      <c r="F1112" s="55" t="s">
        <v>527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527</v>
      </c>
      <c r="F1113" s="55" t="s">
        <v>527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527</v>
      </c>
      <c r="F1114" s="55" t="s">
        <v>527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527</v>
      </c>
      <c r="F1115" s="55" t="s">
        <v>527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527</v>
      </c>
      <c r="F1116" s="55" t="s">
        <v>527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527</v>
      </c>
      <c r="F1117" s="55" t="s">
        <v>527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527</v>
      </c>
      <c r="F1118" s="55" t="s">
        <v>527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527</v>
      </c>
      <c r="F1119" s="55" t="s">
        <v>527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527</v>
      </c>
      <c r="F1120" s="55" t="s">
        <v>527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527</v>
      </c>
      <c r="F1121" s="55" t="s">
        <v>527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527</v>
      </c>
      <c r="F1122" s="55" t="s">
        <v>527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527</v>
      </c>
      <c r="F1123" s="55" t="s">
        <v>527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527</v>
      </c>
      <c r="F1124" s="55" t="s">
        <v>527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527</v>
      </c>
      <c r="F1125" s="55" t="s">
        <v>527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527</v>
      </c>
      <c r="F1126" s="55" t="s">
        <v>527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527</v>
      </c>
      <c r="F1127" s="55" t="s">
        <v>527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527</v>
      </c>
      <c r="F1128" s="55" t="s">
        <v>527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527</v>
      </c>
      <c r="F1129" s="55" t="s">
        <v>527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527</v>
      </c>
      <c r="F1130" s="55" t="s">
        <v>527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527</v>
      </c>
      <c r="F1131" s="55" t="s">
        <v>527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527</v>
      </c>
      <c r="F1132" s="55" t="s">
        <v>527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527</v>
      </c>
      <c r="F1133" s="55" t="s">
        <v>527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527</v>
      </c>
      <c r="F1134" s="55" t="s">
        <v>527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527</v>
      </c>
      <c r="F1135" s="55" t="s">
        <v>527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527</v>
      </c>
      <c r="F1136" s="55" t="s">
        <v>527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527</v>
      </c>
      <c r="F1137" s="55" t="s">
        <v>527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527</v>
      </c>
      <c r="F1138" s="55" t="s">
        <v>527</v>
      </c>
    </row>
    <row r="1139" spans="1:6">
      <c r="A1139" s="56"/>
    </row>
    <row r="1140" spans="1:6">
      <c r="A1140" s="57" t="s">
        <v>569</v>
      </c>
    </row>
    <row r="1141" spans="1:6">
      <c r="A1141" s="57" t="s">
        <v>529</v>
      </c>
    </row>
    <row r="1142" spans="1:6" ht="18">
      <c r="A1142" s="58">
        <v>499.14400000000001</v>
      </c>
    </row>
    <row r="1143" spans="1:6">
      <c r="A1143" s="57" t="s">
        <v>531</v>
      </c>
    </row>
    <row r="1144" spans="1:6">
      <c r="A1144" s="59">
        <v>267.79599999999999</v>
      </c>
    </row>
    <row r="1145" spans="1:6">
      <c r="A1145" s="57" t="s">
        <v>533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521</v>
      </c>
      <c r="B1148" s="52" t="s">
        <v>522</v>
      </c>
      <c r="C1148" s="52" t="s">
        <v>523</v>
      </c>
      <c r="D1148" s="53" t="s">
        <v>524</v>
      </c>
      <c r="E1148" s="53" t="s">
        <v>525</v>
      </c>
      <c r="F1148" s="53" t="s">
        <v>526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527</v>
      </c>
      <c r="F1149" s="55" t="s">
        <v>527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527</v>
      </c>
      <c r="F1150" s="55" t="s">
        <v>527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527</v>
      </c>
      <c r="F1151" s="55" t="s">
        <v>527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527</v>
      </c>
      <c r="F1152" s="55" t="s">
        <v>527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527</v>
      </c>
      <c r="F1153" s="55" t="s">
        <v>527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527</v>
      </c>
      <c r="F1154" s="55" t="s">
        <v>527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527</v>
      </c>
      <c r="F1155" s="55" t="s">
        <v>527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527</v>
      </c>
      <c r="F1156" s="55" t="s">
        <v>527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527</v>
      </c>
      <c r="F1157" s="55" t="s">
        <v>527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527</v>
      </c>
      <c r="F1158" s="55" t="s">
        <v>527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527</v>
      </c>
      <c r="F1159" s="55" t="s">
        <v>527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527</v>
      </c>
      <c r="F1160" s="55" t="s">
        <v>527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527</v>
      </c>
      <c r="F1161" s="55" t="s">
        <v>527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527</v>
      </c>
      <c r="F1162" s="55" t="s">
        <v>527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527</v>
      </c>
      <c r="F1163" s="55" t="s">
        <v>527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527</v>
      </c>
      <c r="F1164" s="55" t="s">
        <v>527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527</v>
      </c>
      <c r="F1165" s="55" t="s">
        <v>527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527</v>
      </c>
      <c r="F1166" s="55" t="s">
        <v>527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527</v>
      </c>
      <c r="F1167" s="55" t="s">
        <v>527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527</v>
      </c>
      <c r="F1168" s="55" t="s">
        <v>527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527</v>
      </c>
      <c r="F1169" s="55" t="s">
        <v>527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527</v>
      </c>
      <c r="F1170" s="55" t="s">
        <v>527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527</v>
      </c>
      <c r="F1171" s="55" t="s">
        <v>527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527</v>
      </c>
      <c r="F1172" s="55" t="s">
        <v>527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527</v>
      </c>
      <c r="F1173" s="55" t="s">
        <v>527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527</v>
      </c>
      <c r="F1174" s="55" t="s">
        <v>527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527</v>
      </c>
      <c r="F1175" s="55" t="s">
        <v>527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527</v>
      </c>
      <c r="F1176" s="55" t="s">
        <v>527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527</v>
      </c>
      <c r="F1177" s="55" t="s">
        <v>527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527</v>
      </c>
      <c r="F1178" s="55" t="s">
        <v>527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527</v>
      </c>
      <c r="F1179" s="55" t="s">
        <v>527</v>
      </c>
    </row>
    <row r="1180" spans="1:6">
      <c r="A1180" s="56"/>
    </row>
    <row r="1181" spans="1:6">
      <c r="A1181" s="57" t="s">
        <v>570</v>
      </c>
    </row>
    <row r="1182" spans="1:6">
      <c r="A1182" s="57" t="s">
        <v>529</v>
      </c>
    </row>
    <row r="1183" spans="1:6" ht="18">
      <c r="A1183" s="58">
        <v>463.42399999999998</v>
      </c>
    </row>
    <row r="1184" spans="1:6">
      <c r="A1184" s="57" t="s">
        <v>531</v>
      </c>
    </row>
    <row r="1185" spans="1:6">
      <c r="A1185" s="59">
        <v>247.173</v>
      </c>
    </row>
    <row r="1186" spans="1:6">
      <c r="A1186" s="57" t="s">
        <v>533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521</v>
      </c>
      <c r="B1189" s="52" t="s">
        <v>522</v>
      </c>
      <c r="C1189" s="52" t="s">
        <v>523</v>
      </c>
      <c r="D1189" s="53" t="s">
        <v>524</v>
      </c>
      <c r="E1189" s="53" t="s">
        <v>525</v>
      </c>
      <c r="F1189" s="53" t="s">
        <v>526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527</v>
      </c>
      <c r="F1190" s="55" t="s">
        <v>527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527</v>
      </c>
      <c r="F1191" s="55" t="s">
        <v>527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527</v>
      </c>
      <c r="F1192" s="55" t="s">
        <v>527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527</v>
      </c>
      <c r="F1193" s="55" t="s">
        <v>527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527</v>
      </c>
      <c r="F1194" s="55" t="s">
        <v>527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527</v>
      </c>
      <c r="F1195" s="55" t="s">
        <v>527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527</v>
      </c>
      <c r="F1196" s="55" t="s">
        <v>527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527</v>
      </c>
      <c r="F1197" s="55" t="s">
        <v>527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527</v>
      </c>
      <c r="F1198" s="55" t="s">
        <v>527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527</v>
      </c>
      <c r="F1199" s="55" t="s">
        <v>527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527</v>
      </c>
      <c r="F1200" s="55" t="s">
        <v>527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527</v>
      </c>
      <c r="F1201" s="55" t="s">
        <v>527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527</v>
      </c>
      <c r="F1202" s="55" t="s">
        <v>527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527</v>
      </c>
      <c r="F1203" s="55" t="s">
        <v>527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527</v>
      </c>
      <c r="F1204" s="55" t="s">
        <v>527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527</v>
      </c>
      <c r="F1205" s="55" t="s">
        <v>527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527</v>
      </c>
      <c r="F1206" s="55" t="s">
        <v>527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527</v>
      </c>
      <c r="F1207" s="55" t="s">
        <v>527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527</v>
      </c>
      <c r="F1208" s="55" t="s">
        <v>527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527</v>
      </c>
      <c r="F1209" s="55" t="s">
        <v>527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527</v>
      </c>
      <c r="F1210" s="55" t="s">
        <v>527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527</v>
      </c>
      <c r="F1211" s="55" t="s">
        <v>527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527</v>
      </c>
      <c r="F1212" s="55" t="s">
        <v>527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527</v>
      </c>
      <c r="F1213" s="55" t="s">
        <v>527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527</v>
      </c>
      <c r="F1214" s="55" t="s">
        <v>527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527</v>
      </c>
      <c r="F1215" s="55" t="s">
        <v>527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527</v>
      </c>
      <c r="F1216" s="55" t="s">
        <v>527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527</v>
      </c>
      <c r="F1217" s="55" t="s">
        <v>527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527</v>
      </c>
      <c r="F1218" s="55" t="s">
        <v>527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527</v>
      </c>
      <c r="F1219" s="55" t="s">
        <v>527</v>
      </c>
    </row>
    <row r="1220" spans="1:6">
      <c r="A1220" s="56"/>
    </row>
    <row r="1221" spans="1:6">
      <c r="A1221" s="57" t="s">
        <v>571</v>
      </c>
    </row>
    <row r="1222" spans="1:6">
      <c r="A1222" s="57" t="s">
        <v>529</v>
      </c>
    </row>
    <row r="1223" spans="1:6" ht="18">
      <c r="A1223" s="58">
        <v>528.64200000000005</v>
      </c>
    </row>
    <row r="1224" spans="1:6">
      <c r="A1224" s="57" t="s">
        <v>531</v>
      </c>
    </row>
    <row r="1225" spans="1:6">
      <c r="A1225" s="59">
        <v>287.75</v>
      </c>
    </row>
    <row r="1226" spans="1:6">
      <c r="A1226" s="57" t="s">
        <v>533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521</v>
      </c>
      <c r="B1229" s="52" t="s">
        <v>522</v>
      </c>
      <c r="C1229" s="52" t="s">
        <v>523</v>
      </c>
      <c r="D1229" s="53" t="s">
        <v>524</v>
      </c>
      <c r="E1229" s="53" t="s">
        <v>525</v>
      </c>
      <c r="F1229" s="53" t="s">
        <v>526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527</v>
      </c>
      <c r="F1230" s="55" t="s">
        <v>527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527</v>
      </c>
      <c r="F1231" s="55" t="s">
        <v>527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527</v>
      </c>
      <c r="F1232" s="55" t="s">
        <v>527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527</v>
      </c>
      <c r="F1233" s="55" t="s">
        <v>527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527</v>
      </c>
      <c r="F1234" s="55" t="s">
        <v>527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527</v>
      </c>
      <c r="F1235" s="55" t="s">
        <v>527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527</v>
      </c>
      <c r="F1236" s="55" t="s">
        <v>527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527</v>
      </c>
      <c r="F1237" s="55" t="s">
        <v>527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527</v>
      </c>
      <c r="F1238" s="55" t="s">
        <v>527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527</v>
      </c>
      <c r="F1239" s="55" t="s">
        <v>527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527</v>
      </c>
      <c r="F1240" s="55" t="s">
        <v>527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527</v>
      </c>
      <c r="F1241" s="55" t="s">
        <v>527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527</v>
      </c>
      <c r="F1242" s="55" t="s">
        <v>527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527</v>
      </c>
      <c r="F1243" s="55" t="s">
        <v>527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527</v>
      </c>
      <c r="F1244" s="55" t="s">
        <v>527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527</v>
      </c>
      <c r="F1245" s="55" t="s">
        <v>527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527</v>
      </c>
      <c r="F1246" s="55" t="s">
        <v>527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527</v>
      </c>
      <c r="F1247" s="55" t="s">
        <v>527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527</v>
      </c>
      <c r="F1248" s="55" t="s">
        <v>527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527</v>
      </c>
      <c r="F1249" s="55" t="s">
        <v>527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527</v>
      </c>
      <c r="F1250" s="55" t="s">
        <v>527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527</v>
      </c>
      <c r="F1251" s="55" t="s">
        <v>527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527</v>
      </c>
      <c r="F1252" s="55" t="s">
        <v>527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527</v>
      </c>
      <c r="F1253" s="55" t="s">
        <v>527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527</v>
      </c>
      <c r="F1254" s="55" t="s">
        <v>527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527</v>
      </c>
      <c r="F1255" s="55" t="s">
        <v>527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527</v>
      </c>
      <c r="F1256" s="55" t="s">
        <v>527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527</v>
      </c>
      <c r="F1257" s="55" t="s">
        <v>527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527</v>
      </c>
      <c r="F1258" s="55" t="s">
        <v>527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527</v>
      </c>
      <c r="F1259" s="55" t="s">
        <v>527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527</v>
      </c>
      <c r="F1260" s="55" t="s">
        <v>527</v>
      </c>
    </row>
    <row r="1261" spans="1:6">
      <c r="A1261" s="56"/>
    </row>
    <row r="1262" spans="1:6">
      <c r="A1262" s="57" t="s">
        <v>572</v>
      </c>
    </row>
    <row r="1263" spans="1:6">
      <c r="A1263" s="57" t="s">
        <v>529</v>
      </c>
    </row>
    <row r="1264" spans="1:6" ht="18">
      <c r="A1264" s="58">
        <v>407.40800000000002</v>
      </c>
    </row>
    <row r="1265" spans="1:6">
      <c r="A1265" s="57" t="s">
        <v>531</v>
      </c>
    </row>
    <row r="1266" spans="1:6">
      <c r="A1266" s="59">
        <v>219.61799999999999</v>
      </c>
    </row>
    <row r="1267" spans="1:6">
      <c r="A1267" s="57" t="s">
        <v>533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521</v>
      </c>
      <c r="B1270" s="52" t="s">
        <v>522</v>
      </c>
      <c r="C1270" s="52" t="s">
        <v>523</v>
      </c>
      <c r="D1270" s="53" t="s">
        <v>524</v>
      </c>
      <c r="E1270" s="53" t="s">
        <v>525</v>
      </c>
      <c r="F1270" s="53" t="s">
        <v>526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527</v>
      </c>
      <c r="F1271" s="55" t="s">
        <v>527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527</v>
      </c>
      <c r="F1272" s="55" t="s">
        <v>527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527</v>
      </c>
      <c r="F1273" s="55" t="s">
        <v>527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527</v>
      </c>
      <c r="F1274" s="55" t="s">
        <v>527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527</v>
      </c>
      <c r="F1275" s="55" t="s">
        <v>527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527</v>
      </c>
      <c r="F1276" s="55" t="s">
        <v>527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527</v>
      </c>
      <c r="F1277" s="55" t="s">
        <v>527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527</v>
      </c>
      <c r="F1278" s="55" t="s">
        <v>527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527</v>
      </c>
      <c r="F1279" s="55" t="s">
        <v>527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527</v>
      </c>
      <c r="F1280" s="55" t="s">
        <v>527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527</v>
      </c>
      <c r="F1281" s="55" t="s">
        <v>527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527</v>
      </c>
      <c r="F1282" s="55" t="s">
        <v>527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527</v>
      </c>
      <c r="F1283" s="55" t="s">
        <v>527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527</v>
      </c>
      <c r="F1284" s="55" t="s">
        <v>527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527</v>
      </c>
      <c r="F1285" s="55" t="s">
        <v>527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527</v>
      </c>
      <c r="F1286" s="55" t="s">
        <v>527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527</v>
      </c>
      <c r="F1287" s="55" t="s">
        <v>527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527</v>
      </c>
      <c r="F1288" s="55" t="s">
        <v>527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527</v>
      </c>
      <c r="F1289" s="55" t="s">
        <v>527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527</v>
      </c>
      <c r="F1290" s="55" t="s">
        <v>527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527</v>
      </c>
      <c r="F1291" s="55" t="s">
        <v>527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527</v>
      </c>
      <c r="F1292" s="55" t="s">
        <v>527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527</v>
      </c>
      <c r="F1293" s="55" t="s">
        <v>527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527</v>
      </c>
      <c r="F1294" s="55" t="s">
        <v>527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527</v>
      </c>
      <c r="F1295" s="55" t="s">
        <v>527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527</v>
      </c>
      <c r="F1296" s="55" t="s">
        <v>527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527</v>
      </c>
      <c r="F1297" s="55" t="s">
        <v>527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527</v>
      </c>
      <c r="F1298" s="55" t="s">
        <v>527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527</v>
      </c>
      <c r="F1299" s="55" t="s">
        <v>527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527</v>
      </c>
      <c r="F1300" s="55" t="s">
        <v>527</v>
      </c>
    </row>
    <row r="1301" spans="1:6">
      <c r="A1301" s="56"/>
    </row>
    <row r="1302" spans="1:6">
      <c r="A1302" s="57" t="s">
        <v>573</v>
      </c>
    </row>
    <row r="1303" spans="1:6">
      <c r="A1303" s="57" t="s">
        <v>529</v>
      </c>
    </row>
    <row r="1304" spans="1:6" ht="18">
      <c r="A1304" s="58">
        <v>434.82799999999997</v>
      </c>
    </row>
    <row r="1305" spans="1:6">
      <c r="A1305" s="57" t="s">
        <v>531</v>
      </c>
    </row>
    <row r="1306" spans="1:6">
      <c r="A1306" s="59">
        <v>236.298</v>
      </c>
    </row>
    <row r="1307" spans="1:6">
      <c r="A1307" s="57" t="s">
        <v>533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521</v>
      </c>
      <c r="B1310" s="52" t="s">
        <v>522</v>
      </c>
      <c r="C1310" s="52" t="s">
        <v>523</v>
      </c>
      <c r="D1310" s="53" t="s">
        <v>524</v>
      </c>
      <c r="E1310" s="53" t="s">
        <v>525</v>
      </c>
      <c r="F1310" s="53" t="s">
        <v>526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527</v>
      </c>
      <c r="F1311" s="55" t="s">
        <v>527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527</v>
      </c>
      <c r="F1312" s="55" t="s">
        <v>527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527</v>
      </c>
      <c r="F1313" s="55" t="s">
        <v>527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527</v>
      </c>
      <c r="F1314" s="55" t="s">
        <v>527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527</v>
      </c>
      <c r="F1315" s="55" t="s">
        <v>527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527</v>
      </c>
      <c r="F1316" s="55" t="s">
        <v>527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527</v>
      </c>
      <c r="F1317" s="55" t="s">
        <v>527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527</v>
      </c>
      <c r="F1318" s="55" t="s">
        <v>527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527</v>
      </c>
      <c r="F1319" s="55" t="s">
        <v>527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527</v>
      </c>
      <c r="F1320" s="55" t="s">
        <v>527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527</v>
      </c>
      <c r="F1321" s="55" t="s">
        <v>527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527</v>
      </c>
      <c r="F1322" s="55" t="s">
        <v>527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527</v>
      </c>
      <c r="F1323" s="55" t="s">
        <v>527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527</v>
      </c>
      <c r="F1324" s="55" t="s">
        <v>527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527</v>
      </c>
      <c r="F1325" s="55" t="s">
        <v>527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527</v>
      </c>
      <c r="F1326" s="55" t="s">
        <v>527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527</v>
      </c>
      <c r="F1327" s="55" t="s">
        <v>527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527</v>
      </c>
      <c r="F1328" s="55" t="s">
        <v>527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527</v>
      </c>
      <c r="F1329" s="55" t="s">
        <v>527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527</v>
      </c>
      <c r="F1330" s="55" t="s">
        <v>527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527</v>
      </c>
      <c r="F1331" s="55" t="s">
        <v>527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527</v>
      </c>
      <c r="F1332" s="55" t="s">
        <v>527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527</v>
      </c>
      <c r="F1333" s="55" t="s">
        <v>527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527</v>
      </c>
      <c r="F1334" s="55" t="s">
        <v>527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527</v>
      </c>
      <c r="F1335" s="55" t="s">
        <v>527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527</v>
      </c>
      <c r="F1336" s="55" t="s">
        <v>527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527</v>
      </c>
      <c r="F1337" s="55" t="s">
        <v>527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527</v>
      </c>
      <c r="F1338" s="55" t="s">
        <v>527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527</v>
      </c>
      <c r="F1339" s="55" t="s">
        <v>527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527</v>
      </c>
      <c r="F1340" s="55" t="s">
        <v>527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527</v>
      </c>
      <c r="F1341" s="55" t="s">
        <v>527</v>
      </c>
    </row>
    <row r="1342" spans="1:6">
      <c r="A1342" s="56"/>
    </row>
    <row r="1343" spans="1:6">
      <c r="A1343" s="57" t="s">
        <v>574</v>
      </c>
    </row>
    <row r="1344" spans="1:6">
      <c r="A1344" s="57" t="s">
        <v>529</v>
      </c>
    </row>
    <row r="1345" spans="1:6" ht="18">
      <c r="A1345" s="58">
        <v>570.16099999999994</v>
      </c>
    </row>
    <row r="1346" spans="1:6">
      <c r="A1346" s="57" t="s">
        <v>531</v>
      </c>
    </row>
    <row r="1347" spans="1:6">
      <c r="A1347" s="59">
        <v>324.01400000000001</v>
      </c>
    </row>
    <row r="1348" spans="1:6">
      <c r="A1348" s="57" t="s">
        <v>533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521</v>
      </c>
      <c r="B1351" s="52" t="s">
        <v>522</v>
      </c>
      <c r="C1351" s="52" t="s">
        <v>523</v>
      </c>
      <c r="D1351" s="53" t="s">
        <v>524</v>
      </c>
      <c r="E1351" s="53" t="s">
        <v>525</v>
      </c>
      <c r="F1351" s="53" t="s">
        <v>526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527</v>
      </c>
      <c r="F1352" s="55" t="s">
        <v>527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527</v>
      </c>
      <c r="F1353" s="55" t="s">
        <v>527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527</v>
      </c>
      <c r="F1354" s="55" t="s">
        <v>527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527</v>
      </c>
      <c r="F1355" s="55" t="s">
        <v>527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527</v>
      </c>
      <c r="F1356" s="55" t="s">
        <v>527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527</v>
      </c>
      <c r="F1357" s="55" t="s">
        <v>527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527</v>
      </c>
      <c r="F1358" s="55" t="s">
        <v>527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527</v>
      </c>
      <c r="F1359" s="55" t="s">
        <v>527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527</v>
      </c>
      <c r="F1360" s="55" t="s">
        <v>527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527</v>
      </c>
      <c r="F1361" s="55" t="s">
        <v>527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527</v>
      </c>
      <c r="F1362" s="55" t="s">
        <v>527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527</v>
      </c>
      <c r="F1363" s="55" t="s">
        <v>527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527</v>
      </c>
      <c r="F1364" s="55" t="s">
        <v>527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527</v>
      </c>
      <c r="F1365" s="55" t="s">
        <v>527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527</v>
      </c>
      <c r="F1366" s="55" t="s">
        <v>527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527</v>
      </c>
      <c r="F1367" s="55" t="s">
        <v>527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527</v>
      </c>
      <c r="F1368" s="55" t="s">
        <v>527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527</v>
      </c>
      <c r="F1369" s="55" t="s">
        <v>527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527</v>
      </c>
      <c r="F1370" s="55" t="s">
        <v>527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527</v>
      </c>
      <c r="F1371" s="55" t="s">
        <v>527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527</v>
      </c>
      <c r="F1372" s="55" t="s">
        <v>527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527</v>
      </c>
      <c r="F1373" s="55" t="s">
        <v>527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527</v>
      </c>
      <c r="F1374" s="55" t="s">
        <v>527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527</v>
      </c>
      <c r="F1375" s="55" t="s">
        <v>527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527</v>
      </c>
      <c r="F1376" s="55" t="s">
        <v>527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527</v>
      </c>
      <c r="F1377" s="55" t="s">
        <v>527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527</v>
      </c>
      <c r="F1378" s="55" t="s">
        <v>527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527</v>
      </c>
      <c r="F1379" s="55" t="s">
        <v>527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527</v>
      </c>
      <c r="F1380" s="55" t="s">
        <v>527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527</v>
      </c>
      <c r="F1381" s="55" t="s">
        <v>527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527</v>
      </c>
      <c r="F1382" s="55" t="s">
        <v>527</v>
      </c>
    </row>
    <row r="1383" spans="1:6">
      <c r="A1383" s="56"/>
    </row>
    <row r="1384" spans="1:6">
      <c r="A1384" s="57" t="s">
        <v>575</v>
      </c>
    </row>
    <row r="1385" spans="1:6">
      <c r="A1385" s="57" t="s">
        <v>529</v>
      </c>
    </row>
    <row r="1386" spans="1:6" ht="18">
      <c r="A1386" s="58">
        <v>550.27499999999998</v>
      </c>
    </row>
    <row r="1387" spans="1:6">
      <c r="A1387" s="57" t="s">
        <v>531</v>
      </c>
    </row>
    <row r="1388" spans="1:6">
      <c r="A1388" s="59">
        <v>309.03699999999998</v>
      </c>
    </row>
    <row r="1389" spans="1:6">
      <c r="A1389" s="57" t="s">
        <v>533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521</v>
      </c>
      <c r="B1392" s="52" t="s">
        <v>522</v>
      </c>
      <c r="C1392" s="52" t="s">
        <v>523</v>
      </c>
      <c r="D1392" s="53" t="s">
        <v>524</v>
      </c>
      <c r="E1392" s="53" t="s">
        <v>525</v>
      </c>
      <c r="F1392" s="53" t="s">
        <v>526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527</v>
      </c>
      <c r="F1393" s="55" t="s">
        <v>527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527</v>
      </c>
      <c r="F1394" s="55" t="s">
        <v>527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527</v>
      </c>
      <c r="F1395" s="55" t="s">
        <v>527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527</v>
      </c>
      <c r="F1396" s="55" t="s">
        <v>527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527</v>
      </c>
      <c r="F1397" s="55" t="s">
        <v>527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527</v>
      </c>
      <c r="F1398" s="55" t="s">
        <v>527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527</v>
      </c>
      <c r="F1399" s="55" t="s">
        <v>527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527</v>
      </c>
      <c r="F1400" s="55" t="s">
        <v>527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527</v>
      </c>
      <c r="F1401" s="55" t="s">
        <v>527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527</v>
      </c>
      <c r="F1402" s="55" t="s">
        <v>527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527</v>
      </c>
      <c r="F1403" s="55" t="s">
        <v>527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527</v>
      </c>
      <c r="F1404" s="55" t="s">
        <v>527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527</v>
      </c>
      <c r="F1405" s="55" t="s">
        <v>527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527</v>
      </c>
      <c r="F1406" s="55" t="s">
        <v>527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527</v>
      </c>
      <c r="F1407" s="55" t="s">
        <v>527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527</v>
      </c>
      <c r="F1408" s="55" t="s">
        <v>527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527</v>
      </c>
      <c r="F1409" s="55" t="s">
        <v>527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527</v>
      </c>
      <c r="F1410" s="55" t="s">
        <v>527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527</v>
      </c>
      <c r="F1411" s="55" t="s">
        <v>527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527</v>
      </c>
      <c r="F1412" s="55" t="s">
        <v>527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527</v>
      </c>
      <c r="F1413" s="55" t="s">
        <v>527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527</v>
      </c>
      <c r="F1414" s="55" t="s">
        <v>527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527</v>
      </c>
      <c r="F1415" s="55" t="s">
        <v>527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527</v>
      </c>
      <c r="F1416" s="55" t="s">
        <v>527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527</v>
      </c>
      <c r="F1417" s="55" t="s">
        <v>527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527</v>
      </c>
      <c r="F1418" s="55" t="s">
        <v>527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527</v>
      </c>
      <c r="F1419" s="55" t="s">
        <v>527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527</v>
      </c>
      <c r="F1420" s="55" t="s">
        <v>527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527</v>
      </c>
      <c r="F1421" s="55" t="s">
        <v>527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527</v>
      </c>
      <c r="F1422" s="55" t="s">
        <v>527</v>
      </c>
    </row>
    <row r="1423" spans="1:6">
      <c r="A1423" s="56"/>
    </row>
    <row r="1424" spans="1:6">
      <c r="A1424" s="57" t="s">
        <v>576</v>
      </c>
    </row>
    <row r="1425" spans="1:6">
      <c r="A1425" s="57" t="s">
        <v>529</v>
      </c>
    </row>
    <row r="1426" spans="1:6" ht="18">
      <c r="A1426" s="58">
        <v>399.935</v>
      </c>
    </row>
    <row r="1427" spans="1:6">
      <c r="A1427" s="57" t="s">
        <v>531</v>
      </c>
    </row>
    <row r="1428" spans="1:6">
      <c r="A1428" s="59">
        <v>218.334</v>
      </c>
    </row>
    <row r="1429" spans="1:6">
      <c r="A1429" s="57" t="s">
        <v>533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521</v>
      </c>
      <c r="B1432" s="52" t="s">
        <v>522</v>
      </c>
      <c r="C1432" s="52" t="s">
        <v>523</v>
      </c>
      <c r="D1432" s="53" t="s">
        <v>524</v>
      </c>
      <c r="E1432" s="53" t="s">
        <v>525</v>
      </c>
      <c r="F1432" s="53" t="s">
        <v>526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527</v>
      </c>
      <c r="F1433" s="55" t="s">
        <v>527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527</v>
      </c>
      <c r="F1434" s="55" t="s">
        <v>527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527</v>
      </c>
      <c r="F1435" s="55" t="s">
        <v>527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527</v>
      </c>
      <c r="F1436" s="55" t="s">
        <v>527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527</v>
      </c>
      <c r="F1437" s="55" t="s">
        <v>527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527</v>
      </c>
      <c r="F1438" s="55" t="s">
        <v>527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527</v>
      </c>
      <c r="F1439" s="55" t="s">
        <v>527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527</v>
      </c>
      <c r="F1440" s="55" t="s">
        <v>527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527</v>
      </c>
      <c r="F1441" s="55" t="s">
        <v>527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527</v>
      </c>
      <c r="F1442" s="55" t="s">
        <v>527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527</v>
      </c>
      <c r="F1443" s="55" t="s">
        <v>527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527</v>
      </c>
      <c r="F1444" s="55" t="s">
        <v>527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527</v>
      </c>
      <c r="F1445" s="55" t="s">
        <v>527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527</v>
      </c>
      <c r="F1446" s="55" t="s">
        <v>527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527</v>
      </c>
      <c r="F1447" s="55" t="s">
        <v>527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527</v>
      </c>
      <c r="F1448" s="55" t="s">
        <v>527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527</v>
      </c>
      <c r="F1449" s="55" t="s">
        <v>527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527</v>
      </c>
      <c r="F1450" s="55" t="s">
        <v>527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527</v>
      </c>
      <c r="F1451" s="55" t="s">
        <v>527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527</v>
      </c>
      <c r="F1452" s="55" t="s">
        <v>527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527</v>
      </c>
      <c r="F1453" s="55" t="s">
        <v>527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527</v>
      </c>
      <c r="F1454" s="55" t="s">
        <v>527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527</v>
      </c>
      <c r="F1455" s="55" t="s">
        <v>527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527</v>
      </c>
      <c r="F1456" s="55" t="s">
        <v>527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527</v>
      </c>
      <c r="F1457" s="55" t="s">
        <v>527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527</v>
      </c>
      <c r="F1458" s="55" t="s">
        <v>527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527</v>
      </c>
      <c r="F1459" s="55" t="s">
        <v>527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527</v>
      </c>
      <c r="F1460" s="55" t="s">
        <v>527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527</v>
      </c>
      <c r="F1461" s="55" t="s">
        <v>527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527</v>
      </c>
      <c r="F1462" s="55" t="s">
        <v>527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527</v>
      </c>
      <c r="F1463" s="55" t="s">
        <v>527</v>
      </c>
    </row>
    <row r="1464" spans="1:6">
      <c r="A1464" s="56"/>
    </row>
    <row r="1465" spans="1:6">
      <c r="A1465" s="57" t="s">
        <v>577</v>
      </c>
    </row>
    <row r="1466" spans="1:6">
      <c r="A1466" s="57" t="s">
        <v>529</v>
      </c>
    </row>
    <row r="1467" spans="1:6" ht="18">
      <c r="A1467" s="58">
        <v>348.61099999999999</v>
      </c>
    </row>
    <row r="1468" spans="1:6">
      <c r="A1468" s="57" t="s">
        <v>531</v>
      </c>
    </row>
    <row r="1469" spans="1:6">
      <c r="A1469" s="59">
        <v>194.36</v>
      </c>
    </row>
    <row r="1470" spans="1:6">
      <c r="A1470" s="57" t="s">
        <v>533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521</v>
      </c>
      <c r="B1473" s="52" t="s">
        <v>522</v>
      </c>
      <c r="C1473" s="52" t="s">
        <v>523</v>
      </c>
      <c r="D1473" s="53" t="s">
        <v>524</v>
      </c>
      <c r="E1473" s="53" t="s">
        <v>525</v>
      </c>
      <c r="F1473" s="53" t="s">
        <v>526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527</v>
      </c>
      <c r="F1474" s="55" t="s">
        <v>527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527</v>
      </c>
      <c r="F1475" s="55" t="s">
        <v>527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527</v>
      </c>
      <c r="F1476" s="55" t="s">
        <v>527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527</v>
      </c>
      <c r="F1477" s="55" t="s">
        <v>527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527</v>
      </c>
      <c r="F1478" s="55" t="s">
        <v>527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527</v>
      </c>
      <c r="F1479" s="55" t="s">
        <v>527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527</v>
      </c>
      <c r="F1480" s="55" t="s">
        <v>527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527</v>
      </c>
      <c r="F1481" s="55" t="s">
        <v>527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527</v>
      </c>
      <c r="F1482" s="55" t="s">
        <v>527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527</v>
      </c>
      <c r="F1483" s="55" t="s">
        <v>527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527</v>
      </c>
      <c r="F1484" s="55" t="s">
        <v>527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527</v>
      </c>
      <c r="F1485" s="55" t="s">
        <v>527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527</v>
      </c>
      <c r="F1486" s="55" t="s">
        <v>527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527</v>
      </c>
      <c r="F1487" s="55" t="s">
        <v>527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527</v>
      </c>
      <c r="F1488" s="55" t="s">
        <v>527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527</v>
      </c>
      <c r="F1489" s="55" t="s">
        <v>527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527</v>
      </c>
      <c r="F1490" s="55" t="s">
        <v>527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527</v>
      </c>
      <c r="F1491" s="55" t="s">
        <v>527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527</v>
      </c>
      <c r="F1492" s="55" t="s">
        <v>527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527</v>
      </c>
      <c r="F1493" s="55" t="s">
        <v>527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527</v>
      </c>
      <c r="F1494" s="55" t="s">
        <v>527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527</v>
      </c>
      <c r="F1495" s="55" t="s">
        <v>527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527</v>
      </c>
      <c r="F1496" s="55" t="s">
        <v>527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527</v>
      </c>
      <c r="F1497" s="55" t="s">
        <v>527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527</v>
      </c>
      <c r="F1498" s="55" t="s">
        <v>527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527</v>
      </c>
      <c r="F1499" s="55" t="s">
        <v>527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527</v>
      </c>
      <c r="F1500" s="55" t="s">
        <v>527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527</v>
      </c>
      <c r="F1501" s="55" t="s">
        <v>527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527</v>
      </c>
      <c r="F1502" s="55" t="s">
        <v>527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527</v>
      </c>
      <c r="F1503" s="55" t="s">
        <v>527</v>
      </c>
    </row>
    <row r="1504" spans="1:6">
      <c r="A1504" s="56"/>
    </row>
    <row r="1505" spans="1:6">
      <c r="A1505" s="57" t="s">
        <v>578</v>
      </c>
    </row>
    <row r="1506" spans="1:6">
      <c r="A1506" s="57" t="s">
        <v>529</v>
      </c>
    </row>
    <row r="1507" spans="1:6" ht="18">
      <c r="A1507" s="58">
        <v>365.88499999999999</v>
      </c>
    </row>
    <row r="1508" spans="1:6">
      <c r="A1508" s="57" t="s">
        <v>531</v>
      </c>
    </row>
    <row r="1509" spans="1:6">
      <c r="A1509" s="59">
        <v>198.339</v>
      </c>
    </row>
    <row r="1510" spans="1:6">
      <c r="A1510" s="57" t="s">
        <v>533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521</v>
      </c>
      <c r="B1513" s="52" t="s">
        <v>522</v>
      </c>
      <c r="C1513" s="52" t="s">
        <v>523</v>
      </c>
      <c r="D1513" s="53" t="s">
        <v>524</v>
      </c>
      <c r="E1513" s="53" t="s">
        <v>525</v>
      </c>
      <c r="F1513" s="53" t="s">
        <v>526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527</v>
      </c>
      <c r="F1514" s="55" t="s">
        <v>527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527</v>
      </c>
      <c r="F1515" s="55" t="s">
        <v>527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527</v>
      </c>
      <c r="F1516" s="55" t="s">
        <v>527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527</v>
      </c>
      <c r="F1517" s="55" t="s">
        <v>527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527</v>
      </c>
      <c r="F1518" s="55" t="s">
        <v>527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527</v>
      </c>
      <c r="F1519" s="55" t="s">
        <v>527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527</v>
      </c>
      <c r="F1520" s="55" t="s">
        <v>527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527</v>
      </c>
      <c r="F1521" s="55" t="s">
        <v>527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527</v>
      </c>
      <c r="F1522" s="55" t="s">
        <v>527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527</v>
      </c>
      <c r="F1523" s="55" t="s">
        <v>527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527</v>
      </c>
      <c r="F1524" s="55" t="s">
        <v>527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527</v>
      </c>
      <c r="F1525" s="55" t="s">
        <v>527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527</v>
      </c>
      <c r="F1526" s="55" t="s">
        <v>527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527</v>
      </c>
      <c r="F1527" s="55" t="s">
        <v>527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527</v>
      </c>
      <c r="F1528" s="55" t="s">
        <v>527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527</v>
      </c>
      <c r="F1529" s="55" t="s">
        <v>527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527</v>
      </c>
      <c r="F1530" s="55" t="s">
        <v>527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527</v>
      </c>
      <c r="F1531" s="55" t="s">
        <v>527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527</v>
      </c>
      <c r="F1532" s="55" t="s">
        <v>527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527</v>
      </c>
      <c r="F1533" s="55" t="s">
        <v>527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527</v>
      </c>
      <c r="F1534" s="55" t="s">
        <v>527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527</v>
      </c>
      <c r="F1535" s="55" t="s">
        <v>527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527</v>
      </c>
      <c r="F1536" s="55" t="s">
        <v>527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527</v>
      </c>
      <c r="F1537" s="55" t="s">
        <v>527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527</v>
      </c>
      <c r="F1538" s="55" t="s">
        <v>527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527</v>
      </c>
      <c r="F1539" s="55" t="s">
        <v>527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527</v>
      </c>
      <c r="F1540" s="55" t="s">
        <v>527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527</v>
      </c>
      <c r="F1541" s="55" t="s">
        <v>527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527</v>
      </c>
      <c r="F1542" s="55" t="s">
        <v>527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527</v>
      </c>
      <c r="F1543" s="55" t="s">
        <v>527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527</v>
      </c>
      <c r="F1544" s="55" t="s">
        <v>527</v>
      </c>
    </row>
    <row r="1545" spans="1:6">
      <c r="A1545" s="56"/>
    </row>
    <row r="1546" spans="1:6">
      <c r="A1546" s="57" t="s">
        <v>579</v>
      </c>
    </row>
    <row r="1547" spans="1:6">
      <c r="A1547" s="57" t="s">
        <v>529</v>
      </c>
    </row>
    <row r="1548" spans="1:6" ht="18">
      <c r="A1548" s="58">
        <v>303.41000000000003</v>
      </c>
    </row>
    <row r="1549" spans="1:6">
      <c r="A1549" s="57" t="s">
        <v>531</v>
      </c>
    </row>
    <row r="1550" spans="1:6">
      <c r="A1550" s="59">
        <v>162.63499999999999</v>
      </c>
    </row>
    <row r="1551" spans="1:6">
      <c r="A1551" s="57" t="s">
        <v>533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521</v>
      </c>
      <c r="B1554" s="52" t="s">
        <v>522</v>
      </c>
      <c r="C1554" s="52" t="s">
        <v>523</v>
      </c>
      <c r="D1554" s="53" t="s">
        <v>524</v>
      </c>
      <c r="E1554" s="53" t="s">
        <v>525</v>
      </c>
      <c r="F1554" s="53" t="s">
        <v>526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527</v>
      </c>
      <c r="F1555" s="55" t="s">
        <v>527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527</v>
      </c>
      <c r="F1556" s="55" t="s">
        <v>527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527</v>
      </c>
      <c r="F1557" s="55" t="s">
        <v>527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527</v>
      </c>
      <c r="F1558" s="55" t="s">
        <v>527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527</v>
      </c>
      <c r="F1559" s="55" t="s">
        <v>527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527</v>
      </c>
      <c r="F1560" s="55" t="s">
        <v>527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527</v>
      </c>
      <c r="F1561" s="55" t="s">
        <v>527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527</v>
      </c>
      <c r="F1562" s="55" t="s">
        <v>527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527</v>
      </c>
      <c r="F1563" s="55" t="s">
        <v>527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527</v>
      </c>
      <c r="F1564" s="55" t="s">
        <v>527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527</v>
      </c>
      <c r="F1565" s="55" t="s">
        <v>527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527</v>
      </c>
      <c r="F1566" s="55" t="s">
        <v>527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527</v>
      </c>
      <c r="F1567" s="55" t="s">
        <v>527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527</v>
      </c>
      <c r="F1568" s="55" t="s">
        <v>527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527</v>
      </c>
      <c r="F1569" s="55" t="s">
        <v>527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527</v>
      </c>
      <c r="F1570" s="55" t="s">
        <v>527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527</v>
      </c>
      <c r="F1571" s="55" t="s">
        <v>527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527</v>
      </c>
      <c r="F1572" s="55" t="s">
        <v>527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527</v>
      </c>
      <c r="F1573" s="55" t="s">
        <v>527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527</v>
      </c>
      <c r="F1574" s="55" t="s">
        <v>527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527</v>
      </c>
      <c r="F1575" s="55" t="s">
        <v>527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527</v>
      </c>
      <c r="F1576" s="55" t="s">
        <v>527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527</v>
      </c>
      <c r="F1577" s="55" t="s">
        <v>527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527</v>
      </c>
      <c r="F1578" s="55" t="s">
        <v>527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527</v>
      </c>
      <c r="F1579" s="55" t="s">
        <v>527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527</v>
      </c>
      <c r="F1580" s="55" t="s">
        <v>527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527</v>
      </c>
      <c r="F1581" s="55" t="s">
        <v>527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527</v>
      </c>
      <c r="F1582" s="55" t="s">
        <v>527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527</v>
      </c>
      <c r="F1583" s="55" t="s">
        <v>527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527</v>
      </c>
      <c r="F1584" s="55" t="s">
        <v>527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527</v>
      </c>
      <c r="F1585" s="55" t="s">
        <v>527</v>
      </c>
    </row>
    <row r="1586" spans="1:6">
      <c r="A1586" s="56"/>
    </row>
    <row r="1587" spans="1:6">
      <c r="A1587" s="57" t="s">
        <v>580</v>
      </c>
    </row>
    <row r="1588" spans="1:6">
      <c r="A1588" s="57" t="s">
        <v>529</v>
      </c>
    </row>
    <row r="1589" spans="1:6" ht="18">
      <c r="A1589" s="58">
        <v>273.06400000000002</v>
      </c>
    </row>
    <row r="1590" spans="1:6">
      <c r="A1590" s="57" t="s">
        <v>531</v>
      </c>
    </row>
    <row r="1591" spans="1:6">
      <c r="A1591" s="59">
        <v>150.10300000000001</v>
      </c>
    </row>
    <row r="1592" spans="1:6">
      <c r="A1592" s="57" t="s">
        <v>533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521</v>
      </c>
      <c r="B1595" s="52" t="s">
        <v>522</v>
      </c>
      <c r="C1595" s="52" t="s">
        <v>523</v>
      </c>
      <c r="D1595" s="53" t="s">
        <v>524</v>
      </c>
      <c r="E1595" s="53" t="s">
        <v>525</v>
      </c>
      <c r="F1595" s="53" t="s">
        <v>526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527</v>
      </c>
      <c r="F1596" s="55" t="s">
        <v>527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527</v>
      </c>
      <c r="F1597" s="55" t="s">
        <v>527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527</v>
      </c>
      <c r="F1598" s="55" t="s">
        <v>527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527</v>
      </c>
      <c r="F1599" s="55" t="s">
        <v>527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527</v>
      </c>
      <c r="F1600" s="55" t="s">
        <v>527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527</v>
      </c>
      <c r="F1601" s="55" t="s">
        <v>527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527</v>
      </c>
      <c r="F1602" s="55" t="s">
        <v>527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527</v>
      </c>
      <c r="F1603" s="55" t="s">
        <v>527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527</v>
      </c>
      <c r="F1604" s="55" t="s">
        <v>527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527</v>
      </c>
      <c r="F1605" s="55" t="s">
        <v>527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527</v>
      </c>
      <c r="F1606" s="55" t="s">
        <v>527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527</v>
      </c>
      <c r="F1607" s="55" t="s">
        <v>527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527</v>
      </c>
      <c r="F1608" s="55" t="s">
        <v>527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527</v>
      </c>
      <c r="F1609" s="55" t="s">
        <v>527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527</v>
      </c>
      <c r="F1610" s="55" t="s">
        <v>527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527</v>
      </c>
      <c r="F1611" s="55" t="s">
        <v>527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527</v>
      </c>
      <c r="F1612" s="55" t="s">
        <v>527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527</v>
      </c>
      <c r="F1613" s="55" t="s">
        <v>527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527</v>
      </c>
      <c r="F1614" s="55" t="s">
        <v>527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527</v>
      </c>
      <c r="F1615" s="55" t="s">
        <v>527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527</v>
      </c>
      <c r="F1616" s="55" t="s">
        <v>527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527</v>
      </c>
      <c r="F1617" s="55" t="s">
        <v>527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527</v>
      </c>
      <c r="F1618" s="55" t="s">
        <v>527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527</v>
      </c>
      <c r="F1619" s="55" t="s">
        <v>527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527</v>
      </c>
      <c r="F1620" s="55" t="s">
        <v>527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527</v>
      </c>
      <c r="F1621" s="55" t="s">
        <v>527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527</v>
      </c>
      <c r="F1622" s="55" t="s">
        <v>527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527</v>
      </c>
      <c r="F1623" s="55" t="s">
        <v>527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527</v>
      </c>
      <c r="F1624" s="55" t="s">
        <v>527</v>
      </c>
    </row>
    <row r="1625" spans="1:6">
      <c r="A1625" s="56"/>
    </row>
    <row r="1626" spans="1:6">
      <c r="A1626" s="57" t="s">
        <v>581</v>
      </c>
    </row>
    <row r="1627" spans="1:6">
      <c r="A1627" s="57" t="s">
        <v>529</v>
      </c>
    </row>
    <row r="1628" spans="1:6" ht="18">
      <c r="A1628" s="58">
        <v>333.11900000000003</v>
      </c>
    </row>
    <row r="1629" spans="1:6">
      <c r="A1629" s="57" t="s">
        <v>531</v>
      </c>
    </row>
    <row r="1630" spans="1:6">
      <c r="A1630" s="59">
        <v>181.65</v>
      </c>
    </row>
    <row r="1631" spans="1:6">
      <c r="A1631" s="57" t="s">
        <v>533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521</v>
      </c>
      <c r="B1634" s="52" t="s">
        <v>522</v>
      </c>
      <c r="C1634" s="52" t="s">
        <v>523</v>
      </c>
      <c r="D1634" s="53" t="s">
        <v>524</v>
      </c>
      <c r="E1634" s="53" t="s">
        <v>525</v>
      </c>
      <c r="F1634" s="53" t="s">
        <v>526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527</v>
      </c>
      <c r="F1635" s="55" t="s">
        <v>527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527</v>
      </c>
      <c r="F1636" s="55" t="s">
        <v>527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527</v>
      </c>
      <c r="F1637" s="55" t="s">
        <v>527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527</v>
      </c>
      <c r="F1638" s="55" t="s">
        <v>527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527</v>
      </c>
      <c r="F1639" s="55" t="s">
        <v>527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527</v>
      </c>
      <c r="F1640" s="55" t="s">
        <v>527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527</v>
      </c>
      <c r="F1641" s="55" t="s">
        <v>527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527</v>
      </c>
      <c r="F1642" s="55" t="s">
        <v>527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527</v>
      </c>
      <c r="F1643" s="55" t="s">
        <v>527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527</v>
      </c>
      <c r="F1644" s="55" t="s">
        <v>527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527</v>
      </c>
      <c r="F1645" s="55" t="s">
        <v>527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527</v>
      </c>
      <c r="F1646" s="55" t="s">
        <v>527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527</v>
      </c>
      <c r="F1647" s="55" t="s">
        <v>527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527</v>
      </c>
      <c r="F1648" s="55" t="s">
        <v>527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527</v>
      </c>
      <c r="F1649" s="55" t="s">
        <v>527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527</v>
      </c>
      <c r="F1650" s="55" t="s">
        <v>527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527</v>
      </c>
      <c r="F1651" s="55" t="s">
        <v>527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527</v>
      </c>
      <c r="F1652" s="55" t="s">
        <v>527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527</v>
      </c>
      <c r="F1653" s="55" t="s">
        <v>527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527</v>
      </c>
      <c r="F1654" s="55" t="s">
        <v>527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527</v>
      </c>
      <c r="F1655" s="55" t="s">
        <v>527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527</v>
      </c>
      <c r="F1656" s="55" t="s">
        <v>527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527</v>
      </c>
      <c r="F1657" s="55" t="s">
        <v>527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527</v>
      </c>
      <c r="F1658" s="55" t="s">
        <v>527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527</v>
      </c>
      <c r="F1659" s="55" t="s">
        <v>527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527</v>
      </c>
      <c r="F1660" s="55" t="s">
        <v>527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527</v>
      </c>
      <c r="F1661" s="55" t="s">
        <v>527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527</v>
      </c>
      <c r="F1662" s="55" t="s">
        <v>527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527</v>
      </c>
      <c r="F1663" s="55" t="s">
        <v>527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527</v>
      </c>
      <c r="F1664" s="55" t="s">
        <v>527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527</v>
      </c>
      <c r="F1665" s="55" t="s">
        <v>527</v>
      </c>
    </row>
    <row r="1666" spans="1:6">
      <c r="A1666" s="56"/>
    </row>
    <row r="1667" spans="1:6">
      <c r="A1667" s="57" t="s">
        <v>582</v>
      </c>
    </row>
    <row r="1668" spans="1:6">
      <c r="A1668" s="57" t="s">
        <v>529</v>
      </c>
    </row>
    <row r="1669" spans="1:6" ht="18">
      <c r="A1669" s="58">
        <v>327.11900000000003</v>
      </c>
    </row>
    <row r="1670" spans="1:6">
      <c r="A1670" s="57" t="s">
        <v>531</v>
      </c>
    </row>
    <row r="1671" spans="1:6">
      <c r="A1671" s="59">
        <v>179.68799999999999</v>
      </c>
    </row>
    <row r="1672" spans="1:6">
      <c r="A1672" s="57" t="s">
        <v>533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521</v>
      </c>
      <c r="B1675" s="52" t="s">
        <v>522</v>
      </c>
      <c r="C1675" s="52" t="s">
        <v>523</v>
      </c>
      <c r="D1675" s="53" t="s">
        <v>524</v>
      </c>
      <c r="E1675" s="53" t="s">
        <v>525</v>
      </c>
      <c r="F1675" s="53" t="s">
        <v>526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527</v>
      </c>
      <c r="F1676" s="55" t="s">
        <v>527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527</v>
      </c>
      <c r="F1677" s="55" t="s">
        <v>527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527</v>
      </c>
      <c r="F1678" s="55" t="s">
        <v>527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527</v>
      </c>
      <c r="F1679" s="55" t="s">
        <v>527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527</v>
      </c>
      <c r="F1680" s="55" t="s">
        <v>527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527</v>
      </c>
      <c r="F1681" s="55" t="s">
        <v>527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527</v>
      </c>
      <c r="F1682" s="55" t="s">
        <v>527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527</v>
      </c>
      <c r="F1683" s="55" t="s">
        <v>527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527</v>
      </c>
      <c r="F1684" s="55" t="s">
        <v>527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527</v>
      </c>
      <c r="F1685" s="55" t="s">
        <v>527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527</v>
      </c>
      <c r="F1686" s="55" t="s">
        <v>527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527</v>
      </c>
      <c r="F1687" s="55" t="s">
        <v>527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527</v>
      </c>
      <c r="F1688" s="55" t="s">
        <v>527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527</v>
      </c>
      <c r="F1689" s="55" t="s">
        <v>527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527</v>
      </c>
      <c r="F1690" s="55" t="s">
        <v>527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527</v>
      </c>
      <c r="F1691" s="55" t="s">
        <v>527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527</v>
      </c>
      <c r="F1692" s="55" t="s">
        <v>527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527</v>
      </c>
      <c r="F1693" s="55" t="s">
        <v>527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527</v>
      </c>
      <c r="F1694" s="55" t="s">
        <v>527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527</v>
      </c>
      <c r="F1695" s="55" t="s">
        <v>527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527</v>
      </c>
      <c r="F1696" s="55" t="s">
        <v>527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527</v>
      </c>
      <c r="F1697" s="55" t="s">
        <v>527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527</v>
      </c>
      <c r="F1698" s="55" t="s">
        <v>527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527</v>
      </c>
      <c r="F1699" s="55" t="s">
        <v>527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527</v>
      </c>
      <c r="F1700" s="55" t="s">
        <v>527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527</v>
      </c>
      <c r="F1701" s="55" t="s">
        <v>527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527</v>
      </c>
      <c r="F1702" s="55" t="s">
        <v>527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527</v>
      </c>
      <c r="F1703" s="55" t="s">
        <v>527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527</v>
      </c>
      <c r="F1704" s="55" t="s">
        <v>527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527</v>
      </c>
      <c r="F1705" s="55" t="s">
        <v>527</v>
      </c>
    </row>
    <row r="1706" spans="1:6">
      <c r="A1706" s="56"/>
    </row>
    <row r="1707" spans="1:6">
      <c r="A1707" s="57" t="s">
        <v>583</v>
      </c>
    </row>
    <row r="1708" spans="1:6">
      <c r="A1708" s="57" t="s">
        <v>529</v>
      </c>
    </row>
    <row r="1709" spans="1:6" ht="18">
      <c r="A1709" s="58">
        <v>318.66399999999999</v>
      </c>
    </row>
    <row r="1710" spans="1:6">
      <c r="A1710" s="57" t="s">
        <v>531</v>
      </c>
    </row>
    <row r="1711" spans="1:6">
      <c r="A1711" s="59">
        <v>173.554</v>
      </c>
    </row>
    <row r="1712" spans="1:6">
      <c r="A1712" s="57" t="s">
        <v>533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521</v>
      </c>
      <c r="B1715" s="52" t="s">
        <v>522</v>
      </c>
      <c r="C1715" s="52" t="s">
        <v>523</v>
      </c>
      <c r="D1715" s="53" t="s">
        <v>524</v>
      </c>
      <c r="E1715" s="53" t="s">
        <v>525</v>
      </c>
      <c r="F1715" s="53" t="s">
        <v>526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527</v>
      </c>
      <c r="F1716" s="55" t="s">
        <v>527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527</v>
      </c>
      <c r="F1717" s="55" t="s">
        <v>527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527</v>
      </c>
      <c r="F1718" s="55" t="s">
        <v>527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527</v>
      </c>
      <c r="F1719" s="55" t="s">
        <v>527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527</v>
      </c>
      <c r="F1720" s="55" t="s">
        <v>527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527</v>
      </c>
      <c r="F1721" s="55" t="s">
        <v>527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527</v>
      </c>
      <c r="F1722" s="55" t="s">
        <v>527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527</v>
      </c>
      <c r="F1723" s="55" t="s">
        <v>527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527</v>
      </c>
      <c r="F1724" s="55" t="s">
        <v>527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527</v>
      </c>
      <c r="F1725" s="55" t="s">
        <v>527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527</v>
      </c>
      <c r="F1726" s="55" t="s">
        <v>527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527</v>
      </c>
      <c r="F1727" s="55" t="s">
        <v>527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527</v>
      </c>
      <c r="F1728" s="55" t="s">
        <v>527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527</v>
      </c>
      <c r="F1729" s="55" t="s">
        <v>527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527</v>
      </c>
      <c r="F1730" s="55" t="s">
        <v>527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527</v>
      </c>
      <c r="F1731" s="55" t="s">
        <v>527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527</v>
      </c>
      <c r="F1732" s="55" t="s">
        <v>527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527</v>
      </c>
      <c r="F1733" s="55" t="s">
        <v>527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527</v>
      </c>
      <c r="F1734" s="55" t="s">
        <v>527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527</v>
      </c>
      <c r="F1735" s="55" t="s">
        <v>527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527</v>
      </c>
      <c r="F1736" s="55" t="s">
        <v>527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527</v>
      </c>
      <c r="F1737" s="55" t="s">
        <v>527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527</v>
      </c>
      <c r="F1738" s="55" t="s">
        <v>527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527</v>
      </c>
      <c r="F1739" s="55" t="s">
        <v>527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527</v>
      </c>
      <c r="F1740" s="55" t="s">
        <v>527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527</v>
      </c>
      <c r="F1741" s="55" t="s">
        <v>527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527</v>
      </c>
      <c r="F1742" s="55" t="s">
        <v>527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527</v>
      </c>
      <c r="F1743" s="55" t="s">
        <v>527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527</v>
      </c>
      <c r="F1744" s="55" t="s">
        <v>527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527</v>
      </c>
      <c r="F1745" s="55" t="s">
        <v>527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527</v>
      </c>
      <c r="F1746" s="55" t="s">
        <v>527</v>
      </c>
    </row>
    <row r="1747" spans="1:6">
      <c r="A1747" s="56"/>
    </row>
    <row r="1748" spans="1:6">
      <c r="A1748" s="57" t="s">
        <v>584</v>
      </c>
    </row>
    <row r="1749" spans="1:6">
      <c r="A1749" s="57" t="s">
        <v>529</v>
      </c>
    </row>
    <row r="1750" spans="1:6" ht="18">
      <c r="A1750" s="58">
        <v>303.60700000000003</v>
      </c>
    </row>
    <row r="1751" spans="1:6">
      <c r="A1751" s="57" t="s">
        <v>531</v>
      </c>
    </row>
    <row r="1752" spans="1:6">
      <c r="A1752" s="59">
        <v>164.779</v>
      </c>
    </row>
    <row r="1753" spans="1:6">
      <c r="A1753" s="57" t="s">
        <v>533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521</v>
      </c>
      <c r="B1756" s="52" t="s">
        <v>522</v>
      </c>
      <c r="C1756" s="52" t="s">
        <v>523</v>
      </c>
      <c r="D1756" s="53" t="s">
        <v>524</v>
      </c>
      <c r="E1756" s="53" t="s">
        <v>525</v>
      </c>
      <c r="F1756" s="53" t="s">
        <v>526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527</v>
      </c>
      <c r="F1757" s="55" t="s">
        <v>527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527</v>
      </c>
      <c r="F1758" s="55" t="s">
        <v>527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527</v>
      </c>
      <c r="F1759" s="55" t="s">
        <v>527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527</v>
      </c>
      <c r="F1760" s="55" t="s">
        <v>527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527</v>
      </c>
      <c r="F1761" s="55" t="s">
        <v>527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527</v>
      </c>
      <c r="F1762" s="55" t="s">
        <v>527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527</v>
      </c>
      <c r="F1763" s="55" t="s">
        <v>527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527</v>
      </c>
      <c r="F1764" s="55" t="s">
        <v>527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527</v>
      </c>
      <c r="F1765" s="55" t="s">
        <v>527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527</v>
      </c>
      <c r="F1766" s="55" t="s">
        <v>527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527</v>
      </c>
      <c r="F1767" s="55" t="s">
        <v>527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527</v>
      </c>
      <c r="F1768" s="55" t="s">
        <v>527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527</v>
      </c>
      <c r="F1769" s="55" t="s">
        <v>527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527</v>
      </c>
      <c r="F1770" s="55" t="s">
        <v>527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527</v>
      </c>
      <c r="F1771" s="55" t="s">
        <v>527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527</v>
      </c>
      <c r="F1772" s="55" t="s">
        <v>527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527</v>
      </c>
      <c r="F1773" s="55" t="s">
        <v>527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527</v>
      </c>
      <c r="F1774" s="55" t="s">
        <v>527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527</v>
      </c>
      <c r="F1775" s="55" t="s">
        <v>527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527</v>
      </c>
      <c r="F1776" s="55" t="s">
        <v>527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527</v>
      </c>
      <c r="F1777" s="55" t="s">
        <v>527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527</v>
      </c>
      <c r="F1778" s="55" t="s">
        <v>527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527</v>
      </c>
      <c r="F1779" s="55" t="s">
        <v>527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527</v>
      </c>
      <c r="F1780" s="55" t="s">
        <v>527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527</v>
      </c>
      <c r="F1781" s="55" t="s">
        <v>527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527</v>
      </c>
      <c r="F1782" s="55" t="s">
        <v>527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527</v>
      </c>
      <c r="F1783" s="55" t="s">
        <v>527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527</v>
      </c>
      <c r="F1784" s="55" t="s">
        <v>527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527</v>
      </c>
      <c r="F1785" s="55" t="s">
        <v>527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527</v>
      </c>
      <c r="F1786" s="55" t="s">
        <v>527</v>
      </c>
    </row>
    <row r="1787" spans="1:6">
      <c r="A1787" s="56"/>
    </row>
    <row r="1788" spans="1:6">
      <c r="A1788" s="57" t="s">
        <v>585</v>
      </c>
    </row>
    <row r="1789" spans="1:6">
      <c r="A1789" s="57" t="s">
        <v>529</v>
      </c>
    </row>
    <row r="1790" spans="1:6" ht="18">
      <c r="A1790" s="58">
        <v>306.86799999999999</v>
      </c>
    </row>
    <row r="1791" spans="1:6">
      <c r="A1791" s="57" t="s">
        <v>531</v>
      </c>
    </row>
    <row r="1792" spans="1:6">
      <c r="A1792" s="59">
        <v>167.767</v>
      </c>
    </row>
    <row r="1793" spans="1:6">
      <c r="A1793" s="57" t="s">
        <v>533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521</v>
      </c>
      <c r="B1796" s="52" t="s">
        <v>522</v>
      </c>
      <c r="C1796" s="52" t="s">
        <v>523</v>
      </c>
      <c r="D1796" s="53" t="s">
        <v>524</v>
      </c>
      <c r="E1796" s="53" t="s">
        <v>525</v>
      </c>
      <c r="F1796" s="53" t="s">
        <v>526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527</v>
      </c>
      <c r="F1797" s="55" t="s">
        <v>527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527</v>
      </c>
      <c r="F1798" s="55" t="s">
        <v>527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527</v>
      </c>
      <c r="F1799" s="55" t="s">
        <v>527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527</v>
      </c>
      <c r="F1800" s="55" t="s">
        <v>527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527</v>
      </c>
      <c r="F1801" s="55" t="s">
        <v>527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527</v>
      </c>
      <c r="F1802" s="55" t="s">
        <v>527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527</v>
      </c>
      <c r="F1803" s="55" t="s">
        <v>527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527</v>
      </c>
      <c r="F1804" s="55" t="s">
        <v>527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527</v>
      </c>
      <c r="F1805" s="55" t="s">
        <v>527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527</v>
      </c>
      <c r="F1806" s="55" t="s">
        <v>527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527</v>
      </c>
      <c r="F1807" s="55" t="s">
        <v>527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527</v>
      </c>
      <c r="F1808" s="55" t="s">
        <v>527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527</v>
      </c>
      <c r="F1809" s="55" t="s">
        <v>527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527</v>
      </c>
      <c r="F1810" s="55" t="s">
        <v>527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527</v>
      </c>
      <c r="F1811" s="55" t="s">
        <v>527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527</v>
      </c>
      <c r="F1812" s="55" t="s">
        <v>527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527</v>
      </c>
      <c r="F1813" s="55" t="s">
        <v>527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527</v>
      </c>
      <c r="F1814" s="55" t="s">
        <v>527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527</v>
      </c>
      <c r="F1815" s="55" t="s">
        <v>527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527</v>
      </c>
      <c r="F1816" s="55" t="s">
        <v>527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527</v>
      </c>
      <c r="F1817" s="55" t="s">
        <v>527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527</v>
      </c>
      <c r="F1818" s="55" t="s">
        <v>527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527</v>
      </c>
      <c r="F1819" s="55" t="s">
        <v>527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527</v>
      </c>
      <c r="F1820" s="55" t="s">
        <v>527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527</v>
      </c>
      <c r="F1821" s="55" t="s">
        <v>527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527</v>
      </c>
      <c r="F1822" s="55" t="s">
        <v>527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527</v>
      </c>
      <c r="F1823" s="55" t="s">
        <v>527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527</v>
      </c>
      <c r="F1824" s="55" t="s">
        <v>527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527</v>
      </c>
      <c r="F1825" s="55" t="s">
        <v>527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527</v>
      </c>
      <c r="F1826" s="55" t="s">
        <v>527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527</v>
      </c>
      <c r="F1827" s="55" t="s">
        <v>527</v>
      </c>
    </row>
    <row r="1828" spans="1:6">
      <c r="A1828" s="56"/>
    </row>
    <row r="1829" spans="1:6">
      <c r="A1829" s="57" t="s">
        <v>586</v>
      </c>
    </row>
    <row r="1830" spans="1:6">
      <c r="A1830" s="57" t="s">
        <v>529</v>
      </c>
    </row>
    <row r="1831" spans="1:6" ht="18">
      <c r="A1831" s="58">
        <v>275.94200000000001</v>
      </c>
    </row>
    <row r="1832" spans="1:6">
      <c r="A1832" s="57" t="s">
        <v>531</v>
      </c>
    </row>
    <row r="1833" spans="1:6">
      <c r="A1833" s="59">
        <v>155.142</v>
      </c>
    </row>
    <row r="1834" spans="1:6">
      <c r="A1834" s="57" t="s">
        <v>533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521</v>
      </c>
      <c r="B1837" s="52" t="s">
        <v>522</v>
      </c>
      <c r="C1837" s="52" t="s">
        <v>523</v>
      </c>
      <c r="D1837" s="53" t="s">
        <v>524</v>
      </c>
      <c r="E1837" s="53" t="s">
        <v>525</v>
      </c>
      <c r="F1837" s="53" t="s">
        <v>526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527</v>
      </c>
      <c r="F1838" s="55" t="s">
        <v>527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527</v>
      </c>
      <c r="F1839" s="55" t="s">
        <v>527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527</v>
      </c>
      <c r="F1840" s="55" t="s">
        <v>527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527</v>
      </c>
      <c r="F1841" s="55" t="s">
        <v>527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527</v>
      </c>
      <c r="F1842" s="55" t="s">
        <v>527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527</v>
      </c>
      <c r="F1843" s="55" t="s">
        <v>527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527</v>
      </c>
      <c r="F1844" s="55" t="s">
        <v>527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527</v>
      </c>
      <c r="F1845" s="55" t="s">
        <v>527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527</v>
      </c>
      <c r="F1846" s="55" t="s">
        <v>527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527</v>
      </c>
      <c r="F1847" s="55" t="s">
        <v>527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527</v>
      </c>
      <c r="F1848" s="55" t="s">
        <v>527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527</v>
      </c>
      <c r="F1849" s="55" t="s">
        <v>527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527</v>
      </c>
      <c r="F1850" s="55" t="s">
        <v>527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527</v>
      </c>
      <c r="F1851" s="55" t="s">
        <v>527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527</v>
      </c>
      <c r="F1852" s="55" t="s">
        <v>527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527</v>
      </c>
      <c r="F1853" s="55" t="s">
        <v>527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527</v>
      </c>
      <c r="F1854" s="55" t="s">
        <v>527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527</v>
      </c>
      <c r="F1855" s="55" t="s">
        <v>527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527</v>
      </c>
      <c r="F1856" s="55" t="s">
        <v>527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527</v>
      </c>
      <c r="F1857" s="55" t="s">
        <v>527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527</v>
      </c>
      <c r="F1858" s="55" t="s">
        <v>527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527</v>
      </c>
      <c r="F1859" s="55" t="s">
        <v>527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527</v>
      </c>
      <c r="F1860" s="55" t="s">
        <v>527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527</v>
      </c>
      <c r="F1861" s="55" t="s">
        <v>527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527</v>
      </c>
      <c r="F1862" s="55" t="s">
        <v>527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527</v>
      </c>
      <c r="F1863" s="55" t="s">
        <v>527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527</v>
      </c>
      <c r="F1864" s="55" t="s">
        <v>527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527</v>
      </c>
      <c r="F1865" s="55" t="s">
        <v>527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527</v>
      </c>
      <c r="F1866" s="55" t="s">
        <v>527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527</v>
      </c>
      <c r="F1867" s="55" t="s">
        <v>527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527</v>
      </c>
      <c r="F1868" s="55" t="s">
        <v>527</v>
      </c>
    </row>
    <row r="1869" spans="1:6">
      <c r="A1869" s="56"/>
    </row>
    <row r="1870" spans="1:6">
      <c r="A1870" s="57" t="s">
        <v>587</v>
      </c>
    </row>
    <row r="1871" spans="1:6">
      <c r="A1871" s="57" t="s">
        <v>529</v>
      </c>
    </row>
    <row r="1872" spans="1:6" ht="18">
      <c r="A1872" s="58">
        <v>214.90600000000001</v>
      </c>
    </row>
    <row r="1873" spans="1:6">
      <c r="A1873" s="57" t="s">
        <v>531</v>
      </c>
    </row>
    <row r="1874" spans="1:6">
      <c r="A1874" s="59">
        <v>145.399</v>
      </c>
    </row>
    <row r="1875" spans="1:6">
      <c r="A1875" s="57" t="s">
        <v>533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521</v>
      </c>
      <c r="B1878" s="52" t="s">
        <v>522</v>
      </c>
      <c r="C1878" s="52" t="s">
        <v>523</v>
      </c>
      <c r="D1878" s="53" t="s">
        <v>524</v>
      </c>
      <c r="E1878" s="53" t="s">
        <v>525</v>
      </c>
      <c r="F1878" s="53" t="s">
        <v>526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527</v>
      </c>
      <c r="F1879" s="55" t="s">
        <v>527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527</v>
      </c>
      <c r="F1880" s="55" t="s">
        <v>527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527</v>
      </c>
      <c r="F1881" s="55" t="s">
        <v>527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527</v>
      </c>
      <c r="F1882" s="55" t="s">
        <v>527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527</v>
      </c>
      <c r="F1883" s="55" t="s">
        <v>527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527</v>
      </c>
      <c r="F1884" s="55" t="s">
        <v>527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527</v>
      </c>
      <c r="F1885" s="55" t="s">
        <v>527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527</v>
      </c>
      <c r="F1886" s="55" t="s">
        <v>527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527</v>
      </c>
      <c r="F1887" s="55" t="s">
        <v>527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527</v>
      </c>
      <c r="F1888" s="55" t="s">
        <v>527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527</v>
      </c>
      <c r="F1889" s="55" t="s">
        <v>527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527</v>
      </c>
      <c r="F1890" s="55" t="s">
        <v>527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527</v>
      </c>
      <c r="F1891" s="55" t="s">
        <v>527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527</v>
      </c>
      <c r="F1892" s="55" t="s">
        <v>527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527</v>
      </c>
      <c r="F1893" s="55" t="s">
        <v>527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527</v>
      </c>
      <c r="F1894" s="55" t="s">
        <v>527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527</v>
      </c>
      <c r="F1895" s="55" t="s">
        <v>527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527</v>
      </c>
      <c r="F1896" s="55" t="s">
        <v>527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527</v>
      </c>
      <c r="F1897" s="55" t="s">
        <v>527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527</v>
      </c>
      <c r="F1898" s="55" t="s">
        <v>527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527</v>
      </c>
      <c r="F1899" s="55" t="s">
        <v>527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527</v>
      </c>
      <c r="F1900" s="55" t="s">
        <v>527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527</v>
      </c>
      <c r="F1901" s="55" t="s">
        <v>527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527</v>
      </c>
      <c r="F1902" s="55" t="s">
        <v>527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527</v>
      </c>
      <c r="F1903" s="55" t="s">
        <v>527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527</v>
      </c>
      <c r="F1904" s="55" t="s">
        <v>527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527</v>
      </c>
      <c r="F1905" s="55" t="s">
        <v>527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527</v>
      </c>
      <c r="F1906" s="55" t="s">
        <v>527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527</v>
      </c>
      <c r="F1907" s="55" t="s">
        <v>527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527</v>
      </c>
      <c r="F1908" s="55" t="s">
        <v>527</v>
      </c>
    </row>
    <row r="1909" spans="1:6">
      <c r="A1909" s="56"/>
    </row>
    <row r="1910" spans="1:6">
      <c r="A1910" s="57" t="s">
        <v>588</v>
      </c>
    </row>
    <row r="1911" spans="1:6">
      <c r="A1911" s="57" t="s">
        <v>529</v>
      </c>
    </row>
    <row r="1912" spans="1:6" ht="18">
      <c r="A1912" s="58">
        <v>235.16900000000001</v>
      </c>
    </row>
    <row r="1913" spans="1:6">
      <c r="A1913" s="57" t="s">
        <v>531</v>
      </c>
    </row>
    <row r="1914" spans="1:6">
      <c r="A1914" s="59">
        <v>136.054</v>
      </c>
    </row>
    <row r="1915" spans="1:6">
      <c r="A1915" s="57" t="s">
        <v>533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521</v>
      </c>
      <c r="B1918" s="52" t="s">
        <v>522</v>
      </c>
      <c r="C1918" s="52" t="s">
        <v>523</v>
      </c>
      <c r="D1918" s="53" t="s">
        <v>524</v>
      </c>
      <c r="E1918" s="53" t="s">
        <v>525</v>
      </c>
      <c r="F1918" s="53" t="s">
        <v>526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527</v>
      </c>
      <c r="F1919" s="55" t="s">
        <v>527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527</v>
      </c>
      <c r="F1920" s="55" t="s">
        <v>527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527</v>
      </c>
      <c r="F1921" s="55" t="s">
        <v>527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527</v>
      </c>
      <c r="F1922" s="55" t="s">
        <v>527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527</v>
      </c>
      <c r="F1923" s="55" t="s">
        <v>527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527</v>
      </c>
      <c r="F1924" s="55" t="s">
        <v>527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527</v>
      </c>
      <c r="F1925" s="55" t="s">
        <v>527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527</v>
      </c>
      <c r="F1926" s="55" t="s">
        <v>527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527</v>
      </c>
      <c r="F1927" s="55" t="s">
        <v>527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527</v>
      </c>
      <c r="F1928" s="55" t="s">
        <v>527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527</v>
      </c>
      <c r="F1929" s="55" t="s">
        <v>527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527</v>
      </c>
      <c r="F1930" s="55" t="s">
        <v>527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527</v>
      </c>
      <c r="F1931" s="55" t="s">
        <v>527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527</v>
      </c>
      <c r="F1932" s="55" t="s">
        <v>527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527</v>
      </c>
      <c r="F1933" s="55" t="s">
        <v>527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527</v>
      </c>
      <c r="F1934" s="55" t="s">
        <v>527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527</v>
      </c>
      <c r="F1935" s="55" t="s">
        <v>527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527</v>
      </c>
      <c r="F1936" s="55" t="s">
        <v>527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527</v>
      </c>
      <c r="F1937" s="55" t="s">
        <v>527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527</v>
      </c>
      <c r="F1938" s="55" t="s">
        <v>527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527</v>
      </c>
      <c r="F1939" s="55" t="s">
        <v>527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527</v>
      </c>
      <c r="F1940" s="55" t="s">
        <v>527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527</v>
      </c>
      <c r="F1941" s="55" t="s">
        <v>527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527</v>
      </c>
      <c r="F1942" s="55" t="s">
        <v>527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527</v>
      </c>
      <c r="F1943" s="55" t="s">
        <v>527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527</v>
      </c>
      <c r="F1944" s="55" t="s">
        <v>527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527</v>
      </c>
      <c r="F1945" s="55" t="s">
        <v>527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527</v>
      </c>
      <c r="F1946" s="55" t="s">
        <v>527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527</v>
      </c>
      <c r="F1947" s="55" t="s">
        <v>527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527</v>
      </c>
      <c r="F1948" s="55" t="s">
        <v>527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527</v>
      </c>
      <c r="F1949" s="55" t="s">
        <v>527</v>
      </c>
    </row>
    <row r="1950" spans="1:6">
      <c r="A1950" s="56"/>
    </row>
    <row r="1951" spans="1:6">
      <c r="A1951" s="57" t="s">
        <v>589</v>
      </c>
    </row>
    <row r="1952" spans="1:6">
      <c r="A1952" s="57" t="s">
        <v>529</v>
      </c>
    </row>
    <row r="1953" spans="1:6" ht="18">
      <c r="A1953" s="58">
        <v>236.24799999999999</v>
      </c>
    </row>
    <row r="1954" spans="1:6">
      <c r="A1954" s="57" t="s">
        <v>531</v>
      </c>
    </row>
    <row r="1955" spans="1:6">
      <c r="A1955" s="59">
        <v>129.81100000000001</v>
      </c>
    </row>
    <row r="1956" spans="1:6">
      <c r="A1956" s="57" t="s">
        <v>533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521</v>
      </c>
      <c r="B1959" s="52" t="s">
        <v>522</v>
      </c>
      <c r="C1959" s="52" t="s">
        <v>523</v>
      </c>
      <c r="D1959" s="53" t="s">
        <v>524</v>
      </c>
      <c r="E1959" s="53" t="s">
        <v>525</v>
      </c>
      <c r="F1959" s="53" t="s">
        <v>526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527</v>
      </c>
      <c r="F1960" s="55" t="s">
        <v>527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527</v>
      </c>
      <c r="F1961" s="55" t="s">
        <v>527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527</v>
      </c>
      <c r="F1962" s="55" t="s">
        <v>527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527</v>
      </c>
      <c r="F1963" s="55" t="s">
        <v>527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527</v>
      </c>
      <c r="F1964" s="55" t="s">
        <v>527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527</v>
      </c>
      <c r="F1965" s="55" t="s">
        <v>527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527</v>
      </c>
      <c r="F1966" s="55" t="s">
        <v>527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527</v>
      </c>
      <c r="F1967" s="55" t="s">
        <v>527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527</v>
      </c>
      <c r="F1968" s="55" t="s">
        <v>527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527</v>
      </c>
      <c r="F1969" s="55" t="s">
        <v>527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527</v>
      </c>
      <c r="F1970" s="55" t="s">
        <v>527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527</v>
      </c>
      <c r="F1971" s="55" t="s">
        <v>527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527</v>
      </c>
      <c r="F1972" s="55" t="s">
        <v>527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527</v>
      </c>
      <c r="F1973" s="55" t="s">
        <v>527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527</v>
      </c>
      <c r="F1974" s="55" t="s">
        <v>527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527</v>
      </c>
      <c r="F1975" s="55" t="s">
        <v>527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527</v>
      </c>
      <c r="F1976" s="55" t="s">
        <v>527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527</v>
      </c>
      <c r="F1977" s="55" t="s">
        <v>527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527</v>
      </c>
      <c r="F1978" s="55" t="s">
        <v>527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527</v>
      </c>
      <c r="F1979" s="55" t="s">
        <v>527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527</v>
      </c>
      <c r="F1980" s="55" t="s">
        <v>527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527</v>
      </c>
      <c r="F1981" s="55" t="s">
        <v>527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527</v>
      </c>
      <c r="F1982" s="55" t="s">
        <v>527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527</v>
      </c>
      <c r="F1983" s="55" t="s">
        <v>527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527</v>
      </c>
      <c r="F1984" s="55" t="s">
        <v>527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527</v>
      </c>
      <c r="F1985" s="55" t="s">
        <v>527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527</v>
      </c>
      <c r="F1986" s="55" t="s">
        <v>527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527</v>
      </c>
      <c r="F1987" s="55" t="s">
        <v>527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527</v>
      </c>
      <c r="F1988" s="55" t="s">
        <v>527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527</v>
      </c>
      <c r="F1989" s="55" t="s">
        <v>527</v>
      </c>
    </row>
    <row r="1990" spans="1:6">
      <c r="A1990" s="56"/>
    </row>
    <row r="1991" spans="1:6">
      <c r="A1991" s="57" t="s">
        <v>590</v>
      </c>
    </row>
    <row r="1992" spans="1:6">
      <c r="A1992" s="57" t="s">
        <v>529</v>
      </c>
    </row>
    <row r="1993" spans="1:6" ht="18">
      <c r="A1993" s="58">
        <v>340.017</v>
      </c>
    </row>
    <row r="1994" spans="1:6">
      <c r="A1994" s="57" t="s">
        <v>531</v>
      </c>
    </row>
    <row r="1995" spans="1:6">
      <c r="A1995" s="59">
        <v>196.489</v>
      </c>
    </row>
    <row r="1996" spans="1:6">
      <c r="A1996" s="57" t="s">
        <v>533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521</v>
      </c>
      <c r="B1999" s="52" t="s">
        <v>522</v>
      </c>
      <c r="C1999" s="52" t="s">
        <v>523</v>
      </c>
      <c r="D1999" s="53" t="s">
        <v>524</v>
      </c>
      <c r="E1999" s="53" t="s">
        <v>525</v>
      </c>
      <c r="F1999" s="53" t="s">
        <v>526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527</v>
      </c>
      <c r="F2000" s="55" t="s">
        <v>527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527</v>
      </c>
      <c r="F2001" s="55" t="s">
        <v>527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527</v>
      </c>
      <c r="F2002" s="55" t="s">
        <v>527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527</v>
      </c>
      <c r="F2003" s="55" t="s">
        <v>527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527</v>
      </c>
      <c r="F2004" s="55" t="s">
        <v>527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527</v>
      </c>
      <c r="F2005" s="55" t="s">
        <v>527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527</v>
      </c>
      <c r="F2006" s="55" t="s">
        <v>527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527</v>
      </c>
      <c r="F2007" s="55" t="s">
        <v>527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527</v>
      </c>
      <c r="F2008" s="55" t="s">
        <v>527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527</v>
      </c>
      <c r="F2009" s="55" t="s">
        <v>527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527</v>
      </c>
      <c r="F2010" s="55" t="s">
        <v>527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527</v>
      </c>
      <c r="F2011" s="55" t="s">
        <v>527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527</v>
      </c>
      <c r="F2012" s="55" t="s">
        <v>527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527</v>
      </c>
      <c r="F2013" s="55" t="s">
        <v>527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527</v>
      </c>
      <c r="F2014" s="55" t="s">
        <v>527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527</v>
      </c>
      <c r="F2015" s="55" t="s">
        <v>527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527</v>
      </c>
      <c r="F2016" s="55" t="s">
        <v>527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527</v>
      </c>
      <c r="F2017" s="55" t="s">
        <v>527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527</v>
      </c>
      <c r="F2018" s="55" t="s">
        <v>527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527</v>
      </c>
      <c r="F2019" s="55" t="s">
        <v>527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527</v>
      </c>
      <c r="F2020" s="55" t="s">
        <v>527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527</v>
      </c>
      <c r="F2021" s="55" t="s">
        <v>527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527</v>
      </c>
      <c r="F2022" s="55" t="s">
        <v>527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527</v>
      </c>
      <c r="F2023" s="55" t="s">
        <v>527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527</v>
      </c>
      <c r="F2024" s="55" t="s">
        <v>527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527</v>
      </c>
      <c r="F2025" s="55" t="s">
        <v>527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527</v>
      </c>
      <c r="F2026" s="55" t="s">
        <v>527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527</v>
      </c>
      <c r="F2027" s="55" t="s">
        <v>527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527</v>
      </c>
      <c r="F2028" s="55" t="s">
        <v>527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527</v>
      </c>
      <c r="F2029" s="55" t="s">
        <v>527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527</v>
      </c>
      <c r="F2030" s="55" t="s">
        <v>527</v>
      </c>
    </row>
    <row r="2031" spans="1:6">
      <c r="A2031" s="56"/>
    </row>
    <row r="2032" spans="1:6">
      <c r="A2032" s="57" t="s">
        <v>591</v>
      </c>
    </row>
    <row r="2033" spans="1:6">
      <c r="A2033" s="57" t="s">
        <v>529</v>
      </c>
    </row>
    <row r="2034" spans="1:6" ht="18">
      <c r="A2034" s="58">
        <v>465.637</v>
      </c>
    </row>
    <row r="2035" spans="1:6">
      <c r="A2035" s="57" t="s">
        <v>531</v>
      </c>
    </row>
    <row r="2036" spans="1:6">
      <c r="A2036" s="59">
        <v>289.613</v>
      </c>
    </row>
    <row r="2037" spans="1:6">
      <c r="A2037" s="57" t="s">
        <v>533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521</v>
      </c>
      <c r="B2040" s="52" t="s">
        <v>522</v>
      </c>
      <c r="C2040" s="52" t="s">
        <v>523</v>
      </c>
      <c r="D2040" s="53" t="s">
        <v>524</v>
      </c>
      <c r="E2040" s="53" t="s">
        <v>525</v>
      </c>
      <c r="F2040" s="53" t="s">
        <v>526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527</v>
      </c>
      <c r="F2041" s="55" t="s">
        <v>527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527</v>
      </c>
      <c r="F2042" s="55" t="s">
        <v>527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527</v>
      </c>
      <c r="F2043" s="55" t="s">
        <v>527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527</v>
      </c>
      <c r="F2044" s="55" t="s">
        <v>527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527</v>
      </c>
      <c r="F2045" s="55" t="s">
        <v>527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527</v>
      </c>
      <c r="F2046" s="55" t="s">
        <v>527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527</v>
      </c>
      <c r="F2047" s="55" t="s">
        <v>527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527</v>
      </c>
      <c r="F2048" s="55" t="s">
        <v>527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527</v>
      </c>
      <c r="F2049" s="55" t="s">
        <v>527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527</v>
      </c>
      <c r="F2050" s="55" t="s">
        <v>527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527</v>
      </c>
      <c r="F2051" s="55" t="s">
        <v>527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527</v>
      </c>
      <c r="F2052" s="55" t="s">
        <v>527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527</v>
      </c>
      <c r="F2053" s="55" t="s">
        <v>527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527</v>
      </c>
      <c r="F2054" s="55" t="s">
        <v>527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527</v>
      </c>
      <c r="F2055" s="55" t="s">
        <v>527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527</v>
      </c>
      <c r="F2056" s="55" t="s">
        <v>527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527</v>
      </c>
      <c r="F2057" s="55" t="s">
        <v>527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527</v>
      </c>
      <c r="F2058" s="55" t="s">
        <v>527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527</v>
      </c>
      <c r="F2059" s="55" t="s">
        <v>527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527</v>
      </c>
      <c r="F2060" s="55" t="s">
        <v>527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527</v>
      </c>
      <c r="F2061" s="55" t="s">
        <v>527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527</v>
      </c>
      <c r="F2062" s="55" t="s">
        <v>527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527</v>
      </c>
      <c r="F2063" s="55" t="s">
        <v>527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527</v>
      </c>
      <c r="F2064" s="55" t="s">
        <v>527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527</v>
      </c>
      <c r="F2065" s="55" t="s">
        <v>527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527</v>
      </c>
      <c r="F2066" s="55" t="s">
        <v>527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527</v>
      </c>
      <c r="F2067" s="55" t="s">
        <v>527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527</v>
      </c>
      <c r="F2068" s="55" t="s">
        <v>527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527</v>
      </c>
      <c r="F2069" s="55" t="s">
        <v>527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527</v>
      </c>
      <c r="F2070" s="55" t="s">
        <v>527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527</v>
      </c>
      <c r="F2071" s="55" t="s">
        <v>527</v>
      </c>
    </row>
    <row r="2072" spans="1:6">
      <c r="A2072" s="56"/>
    </row>
    <row r="2073" spans="1:6">
      <c r="A2073" s="57" t="s">
        <v>592</v>
      </c>
    </row>
    <row r="2074" spans="1:6">
      <c r="A2074" s="57" t="s">
        <v>529</v>
      </c>
    </row>
    <row r="2075" spans="1:6" ht="18">
      <c r="A2075" s="58">
        <v>215.43199999999999</v>
      </c>
    </row>
    <row r="2076" spans="1:6">
      <c r="A2076" s="57" t="s">
        <v>531</v>
      </c>
    </row>
    <row r="2077" spans="1:6">
      <c r="A2077" s="59">
        <v>134.12700000000001</v>
      </c>
    </row>
    <row r="2078" spans="1:6">
      <c r="A2078" s="57" t="s">
        <v>533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521</v>
      </c>
      <c r="B2081" s="52" t="s">
        <v>522</v>
      </c>
      <c r="C2081" s="52" t="s">
        <v>523</v>
      </c>
      <c r="D2081" s="53" t="s">
        <v>524</v>
      </c>
      <c r="E2081" s="53" t="s">
        <v>525</v>
      </c>
      <c r="F2081" s="53" t="s">
        <v>526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527</v>
      </c>
      <c r="F2082" s="55" t="s">
        <v>527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527</v>
      </c>
      <c r="F2083" s="55" t="s">
        <v>527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527</v>
      </c>
      <c r="F2084" s="55" t="s">
        <v>527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527</v>
      </c>
      <c r="F2085" s="55" t="s">
        <v>527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527</v>
      </c>
      <c r="F2086" s="55" t="s">
        <v>527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527</v>
      </c>
      <c r="F2087" s="55" t="s">
        <v>527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527</v>
      </c>
      <c r="F2088" s="55" t="s">
        <v>527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527</v>
      </c>
      <c r="F2089" s="55" t="s">
        <v>527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527</v>
      </c>
      <c r="F2090" s="55" t="s">
        <v>527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527</v>
      </c>
      <c r="F2091" s="55" t="s">
        <v>527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527</v>
      </c>
      <c r="F2092" s="55" t="s">
        <v>527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527</v>
      </c>
      <c r="F2093" s="55" t="s">
        <v>527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527</v>
      </c>
      <c r="F2094" s="55" t="s">
        <v>527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527</v>
      </c>
      <c r="F2095" s="55" t="s">
        <v>527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527</v>
      </c>
      <c r="F2096" s="55" t="s">
        <v>527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527</v>
      </c>
      <c r="F2097" s="55" t="s">
        <v>527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527</v>
      </c>
      <c r="F2098" s="55" t="s">
        <v>527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527</v>
      </c>
      <c r="F2099" s="55" t="s">
        <v>527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527</v>
      </c>
      <c r="F2100" s="55" t="s">
        <v>527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527</v>
      </c>
      <c r="F2101" s="55" t="s">
        <v>527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527</v>
      </c>
      <c r="F2102" s="55" t="s">
        <v>527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594</v>
      </c>
      <c r="B1" s="57" t="s">
        <v>529</v>
      </c>
      <c r="C1" s="57" t="s">
        <v>531</v>
      </c>
    </row>
    <row r="2" spans="1:5" ht="18">
      <c r="A2" s="57" t="s">
        <v>593</v>
      </c>
      <c r="B2" s="58">
        <v>8.1660000000000004</v>
      </c>
      <c r="C2">
        <v>7.0819999999999999</v>
      </c>
    </row>
    <row r="3" spans="1:5" ht="18">
      <c r="A3" s="57" t="s">
        <v>528</v>
      </c>
      <c r="B3" s="58">
        <v>3258.5929999999998</v>
      </c>
      <c r="C3">
        <v>1761.57</v>
      </c>
    </row>
    <row r="4" spans="1:5" ht="18">
      <c r="A4" s="57" t="s">
        <v>534</v>
      </c>
      <c r="B4" s="58">
        <v>1646.1980000000001</v>
      </c>
      <c r="C4">
        <v>930.41399999999999</v>
      </c>
    </row>
    <row r="5" spans="1:5" ht="18">
      <c r="A5" s="57" t="s">
        <v>536</v>
      </c>
      <c r="B5" s="58">
        <v>1439.6310000000001</v>
      </c>
      <c r="C5">
        <v>840.62900000000002</v>
      </c>
    </row>
    <row r="6" spans="1:5" ht="18">
      <c r="A6" s="57" t="s">
        <v>538</v>
      </c>
      <c r="B6" s="58">
        <v>1081.3309999999999</v>
      </c>
      <c r="C6">
        <v>625.34</v>
      </c>
    </row>
    <row r="7" spans="1:5" ht="18">
      <c r="A7" s="57" t="s">
        <v>540</v>
      </c>
      <c r="B7" s="58">
        <v>893.60900000000004</v>
      </c>
      <c r="C7">
        <v>481.93799999999999</v>
      </c>
    </row>
    <row r="8" spans="1:5" ht="18">
      <c r="A8" s="57" t="s">
        <v>541</v>
      </c>
      <c r="B8" s="58">
        <v>808.85900000000004</v>
      </c>
      <c r="C8">
        <v>410.72899999999998</v>
      </c>
    </row>
    <row r="9" spans="1:5" ht="18">
      <c r="A9" s="57" t="s">
        <v>542</v>
      </c>
      <c r="B9" s="58">
        <v>823.76</v>
      </c>
      <c r="C9">
        <v>426.69499999999999</v>
      </c>
    </row>
    <row r="10" spans="1:5" ht="18">
      <c r="A10" s="57" t="s">
        <v>543</v>
      </c>
      <c r="B10" s="58">
        <v>890.20600000000002</v>
      </c>
      <c r="C10">
        <v>470.33499999999998</v>
      </c>
    </row>
    <row r="11" spans="1:5" ht="18">
      <c r="A11" s="57" t="s">
        <v>544</v>
      </c>
      <c r="B11" s="58">
        <v>1172.4870000000001</v>
      </c>
      <c r="C11">
        <v>624.86900000000003</v>
      </c>
    </row>
    <row r="12" spans="1:5" ht="18">
      <c r="A12" s="57" t="s">
        <v>546</v>
      </c>
      <c r="B12" s="58">
        <v>1101.0440000000001</v>
      </c>
      <c r="C12">
        <v>590.57600000000002</v>
      </c>
    </row>
    <row r="13" spans="1:5" ht="18">
      <c r="A13" s="57" t="s">
        <v>548</v>
      </c>
      <c r="B13" s="58">
        <v>850.33399999999995</v>
      </c>
      <c r="C13">
        <v>477.28300000000002</v>
      </c>
    </row>
    <row r="14" spans="1:5" ht="18">
      <c r="A14" s="57" t="s">
        <v>549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550</v>
      </c>
      <c r="B15" s="58">
        <v>904.19200000000001</v>
      </c>
      <c r="C15">
        <v>520.97199999999998</v>
      </c>
      <c r="D15" s="58"/>
    </row>
    <row r="16" spans="1:5" ht="18">
      <c r="A16" s="57" t="s">
        <v>551</v>
      </c>
      <c r="B16" s="58">
        <v>870.03399999999999</v>
      </c>
      <c r="C16">
        <v>435.91199999999998</v>
      </c>
    </row>
    <row r="17" spans="1:5" ht="18">
      <c r="A17" s="57" t="s">
        <v>553</v>
      </c>
      <c r="B17" s="58">
        <v>829.21400000000006</v>
      </c>
      <c r="C17">
        <v>438.517</v>
      </c>
    </row>
    <row r="18" spans="1:5" ht="18">
      <c r="A18" s="57" t="s">
        <v>554</v>
      </c>
      <c r="B18" s="58">
        <v>730.46299999999997</v>
      </c>
      <c r="C18">
        <v>398.93599999999998</v>
      </c>
    </row>
    <row r="19" spans="1:5" ht="18">
      <c r="A19" s="57" t="s">
        <v>555</v>
      </c>
      <c r="B19" s="58">
        <v>731.28</v>
      </c>
      <c r="C19">
        <v>390.46</v>
      </c>
    </row>
    <row r="20" spans="1:5" ht="18">
      <c r="A20" s="57" t="s">
        <v>556</v>
      </c>
      <c r="B20" s="58">
        <v>721.86599999999999</v>
      </c>
      <c r="C20">
        <v>380.61099999999999</v>
      </c>
    </row>
    <row r="21" spans="1:5" ht="18">
      <c r="A21" s="57" t="s">
        <v>557</v>
      </c>
      <c r="B21" s="58">
        <v>704.86800000000005</v>
      </c>
      <c r="C21">
        <v>387.95400000000001</v>
      </c>
    </row>
    <row r="22" spans="1:5" ht="18">
      <c r="A22" s="57" t="s">
        <v>558</v>
      </c>
      <c r="B22" s="58">
        <v>706.63400000000001</v>
      </c>
      <c r="C22">
        <v>397.791</v>
      </c>
    </row>
    <row r="23" spans="1:5" ht="18">
      <c r="A23" s="57" t="s">
        <v>559</v>
      </c>
      <c r="B23" s="58">
        <v>1040.2170000000001</v>
      </c>
      <c r="C23">
        <v>542.30600000000004</v>
      </c>
    </row>
    <row r="24" spans="1:5" ht="18">
      <c r="A24" s="57" t="s">
        <v>561</v>
      </c>
      <c r="B24" s="58">
        <v>1073.627</v>
      </c>
      <c r="C24">
        <v>556.20699999999999</v>
      </c>
    </row>
    <row r="25" spans="1:5" ht="18">
      <c r="A25" s="57" t="s">
        <v>563</v>
      </c>
      <c r="B25" s="58">
        <v>853.673</v>
      </c>
      <c r="C25">
        <v>457.90300000000002</v>
      </c>
    </row>
    <row r="26" spans="1:5" ht="18">
      <c r="A26" s="57" t="s">
        <v>564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565</v>
      </c>
      <c r="B27" s="58">
        <v>751.53200000000004</v>
      </c>
      <c r="C27">
        <v>386.14400000000001</v>
      </c>
    </row>
    <row r="28" spans="1:5" ht="18">
      <c r="A28" s="57" t="s">
        <v>566</v>
      </c>
      <c r="B28" s="58">
        <v>770.06500000000005</v>
      </c>
      <c r="C28">
        <v>396.012</v>
      </c>
    </row>
    <row r="29" spans="1:5" ht="18">
      <c r="A29" s="57" t="s">
        <v>567</v>
      </c>
      <c r="B29" s="58">
        <v>680.93299999999999</v>
      </c>
      <c r="C29">
        <v>354.267</v>
      </c>
    </row>
    <row r="30" spans="1:5" ht="18">
      <c r="A30" s="57" t="s">
        <v>568</v>
      </c>
      <c r="B30" s="58">
        <v>680.40200000000004</v>
      </c>
      <c r="C30">
        <v>368.78300000000002</v>
      </c>
    </row>
    <row r="31" spans="1:5" ht="18">
      <c r="A31" s="57" t="s">
        <v>569</v>
      </c>
      <c r="B31" s="58">
        <v>499.14400000000001</v>
      </c>
      <c r="C31">
        <v>267.79599999999999</v>
      </c>
    </row>
    <row r="32" spans="1:5" ht="18">
      <c r="A32" s="57" t="s">
        <v>570</v>
      </c>
      <c r="B32" s="58">
        <v>463.42399999999998</v>
      </c>
      <c r="C32">
        <v>247.173</v>
      </c>
    </row>
    <row r="33" spans="1:3" ht="18">
      <c r="A33" s="57" t="s">
        <v>571</v>
      </c>
      <c r="B33" s="58">
        <v>528.64200000000005</v>
      </c>
      <c r="C33">
        <v>287.75</v>
      </c>
    </row>
    <row r="34" spans="1:3" ht="18">
      <c r="A34" s="57" t="s">
        <v>572</v>
      </c>
      <c r="B34" s="58">
        <v>407.40800000000002</v>
      </c>
      <c r="C34">
        <v>219.61799999999999</v>
      </c>
    </row>
    <row r="35" spans="1:3" ht="18">
      <c r="A35" s="57" t="s">
        <v>573</v>
      </c>
      <c r="B35" s="58">
        <v>434.82799999999997</v>
      </c>
      <c r="C35">
        <v>236.298</v>
      </c>
    </row>
    <row r="36" spans="1:3" ht="18">
      <c r="A36" s="57" t="s">
        <v>574</v>
      </c>
      <c r="B36" s="58">
        <v>570.16099999999994</v>
      </c>
      <c r="C36">
        <v>324.01400000000001</v>
      </c>
    </row>
    <row r="37" spans="1:3" ht="18">
      <c r="A37" s="57" t="s">
        <v>575</v>
      </c>
      <c r="B37" s="58">
        <v>550.27499999999998</v>
      </c>
      <c r="C37">
        <v>309.03699999999998</v>
      </c>
    </row>
    <row r="38" spans="1:3" ht="18">
      <c r="A38" s="57" t="s">
        <v>576</v>
      </c>
      <c r="B38" s="58">
        <v>399.935</v>
      </c>
      <c r="C38">
        <v>218.334</v>
      </c>
    </row>
    <row r="39" spans="1:3" ht="18">
      <c r="A39" s="57" t="s">
        <v>577</v>
      </c>
      <c r="B39" s="58">
        <v>348.61099999999999</v>
      </c>
      <c r="C39">
        <v>194.36</v>
      </c>
    </row>
    <row r="40" spans="1:3" ht="18">
      <c r="A40" s="57" t="s">
        <v>578</v>
      </c>
      <c r="B40" s="58">
        <v>365.88499999999999</v>
      </c>
      <c r="C40">
        <v>198.339</v>
      </c>
    </row>
    <row r="41" spans="1:3" ht="18">
      <c r="A41" s="57" t="s">
        <v>579</v>
      </c>
      <c r="B41" s="58">
        <v>303.41000000000003</v>
      </c>
      <c r="C41">
        <v>162.63499999999999</v>
      </c>
    </row>
    <row r="42" spans="1:3" ht="18">
      <c r="A42" s="57" t="s">
        <v>580</v>
      </c>
      <c r="B42" s="58">
        <v>273.06400000000002</v>
      </c>
      <c r="C42">
        <v>150.10300000000001</v>
      </c>
    </row>
    <row r="43" spans="1:3" ht="18">
      <c r="A43" s="57" t="s">
        <v>581</v>
      </c>
      <c r="B43" s="58">
        <v>333.11900000000003</v>
      </c>
      <c r="C43">
        <v>181.65</v>
      </c>
    </row>
    <row r="44" spans="1:3" ht="18">
      <c r="A44" s="57" t="s">
        <v>582</v>
      </c>
      <c r="B44" s="58">
        <v>327.11900000000003</v>
      </c>
      <c r="C44">
        <v>179.68799999999999</v>
      </c>
    </row>
    <row r="45" spans="1:3" ht="18">
      <c r="A45" s="57" t="s">
        <v>583</v>
      </c>
      <c r="B45" s="58">
        <v>318.66399999999999</v>
      </c>
      <c r="C45">
        <v>173.554</v>
      </c>
    </row>
    <row r="46" spans="1:3" ht="18">
      <c r="A46" s="57" t="s">
        <v>584</v>
      </c>
      <c r="B46" s="58">
        <v>303.60700000000003</v>
      </c>
      <c r="C46">
        <v>164.779</v>
      </c>
    </row>
    <row r="47" spans="1:3" ht="18">
      <c r="A47" s="57" t="s">
        <v>585</v>
      </c>
      <c r="B47" s="58">
        <v>306.86799999999999</v>
      </c>
      <c r="C47">
        <v>167.767</v>
      </c>
    </row>
    <row r="48" spans="1:3" ht="18">
      <c r="A48" s="57" t="s">
        <v>586</v>
      </c>
      <c r="B48" s="58">
        <v>275.94200000000001</v>
      </c>
      <c r="C48">
        <v>155.142</v>
      </c>
    </row>
    <row r="49" spans="1:3" ht="18">
      <c r="A49" s="57" t="s">
        <v>587</v>
      </c>
      <c r="B49" s="58">
        <v>214.90600000000001</v>
      </c>
      <c r="C49">
        <v>145.399</v>
      </c>
    </row>
    <row r="50" spans="1:3" ht="18">
      <c r="A50" s="57" t="s">
        <v>588</v>
      </c>
      <c r="B50" s="58">
        <v>235.16900000000001</v>
      </c>
      <c r="C50">
        <v>136.054</v>
      </c>
    </row>
    <row r="51" spans="1:3" ht="18">
      <c r="A51" s="57" t="s">
        <v>589</v>
      </c>
      <c r="B51" s="58">
        <v>236.24799999999999</v>
      </c>
      <c r="C51">
        <v>129.81100000000001</v>
      </c>
    </row>
    <row r="52" spans="1:3" ht="18">
      <c r="A52" s="57" t="s">
        <v>590</v>
      </c>
      <c r="B52" s="58">
        <v>340.017</v>
      </c>
      <c r="C52">
        <v>196.489</v>
      </c>
    </row>
    <row r="53" spans="1:3" ht="18">
      <c r="A53" s="57" t="s">
        <v>591</v>
      </c>
      <c r="B53" s="58">
        <v>465.637</v>
      </c>
      <c r="C53">
        <v>289.613</v>
      </c>
    </row>
    <row r="54" spans="1:3" ht="18">
      <c r="A54" s="57" t="s">
        <v>592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601</v>
      </c>
      <c r="B1" t="s">
        <v>602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832</v>
      </c>
      <c r="B1" t="s">
        <v>154</v>
      </c>
      <c r="C1" t="s">
        <v>833</v>
      </c>
      <c r="D1" t="s">
        <v>843</v>
      </c>
    </row>
    <row r="2" spans="1:4">
      <c r="A2" t="s">
        <v>834</v>
      </c>
      <c r="B2">
        <v>2</v>
      </c>
      <c r="C2">
        <v>1</v>
      </c>
      <c r="D2">
        <f>B2*C2</f>
        <v>2</v>
      </c>
    </row>
    <row r="3" spans="1:4">
      <c r="A3" t="s">
        <v>835</v>
      </c>
      <c r="B3">
        <v>1</v>
      </c>
      <c r="C3">
        <v>5</v>
      </c>
      <c r="D3">
        <f t="shared" ref="D3:D12" si="0">B3*C3</f>
        <v>5</v>
      </c>
    </row>
    <row r="4" spans="1:4">
      <c r="A4" t="s">
        <v>836</v>
      </c>
      <c r="B4">
        <v>0.5</v>
      </c>
      <c r="C4">
        <v>4</v>
      </c>
      <c r="D4">
        <f t="shared" si="0"/>
        <v>2</v>
      </c>
    </row>
    <row r="5" spans="1:4">
      <c r="A5" t="s">
        <v>838</v>
      </c>
      <c r="B5">
        <v>0.5</v>
      </c>
      <c r="C5">
        <v>6</v>
      </c>
      <c r="D5">
        <f t="shared" si="0"/>
        <v>3</v>
      </c>
    </row>
    <row r="6" spans="1:4">
      <c r="A6" t="s">
        <v>837</v>
      </c>
      <c r="B6">
        <v>0</v>
      </c>
      <c r="D6">
        <f t="shared" si="0"/>
        <v>0</v>
      </c>
    </row>
    <row r="7" spans="1:4">
      <c r="A7" t="s">
        <v>839</v>
      </c>
      <c r="B7">
        <v>0</v>
      </c>
      <c r="D7">
        <f t="shared" si="0"/>
        <v>0</v>
      </c>
    </row>
    <row r="8" spans="1:4">
      <c r="A8" t="s">
        <v>832</v>
      </c>
      <c r="B8">
        <v>0.2</v>
      </c>
      <c r="C8">
        <v>10</v>
      </c>
      <c r="D8">
        <f t="shared" si="0"/>
        <v>2</v>
      </c>
    </row>
    <row r="9" spans="1:4">
      <c r="A9" t="s">
        <v>844</v>
      </c>
      <c r="B9">
        <v>0</v>
      </c>
      <c r="C9">
        <v>4</v>
      </c>
      <c r="D9">
        <f t="shared" si="0"/>
        <v>0</v>
      </c>
    </row>
    <row r="10" spans="1:4">
      <c r="A10" t="s">
        <v>840</v>
      </c>
      <c r="B10">
        <v>1</v>
      </c>
      <c r="C10">
        <v>3</v>
      </c>
      <c r="D10">
        <f t="shared" si="0"/>
        <v>3</v>
      </c>
    </row>
    <row r="11" spans="1:4">
      <c r="A11" t="s">
        <v>842</v>
      </c>
      <c r="B11">
        <v>1</v>
      </c>
      <c r="C11">
        <v>0</v>
      </c>
      <c r="D11">
        <f t="shared" si="0"/>
        <v>0</v>
      </c>
    </row>
    <row r="12" spans="1:4">
      <c r="A12" t="s">
        <v>841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weaponParam</vt:lpstr>
      <vt:lpstr>itemParam</vt:lpstr>
      <vt:lpstr>statParam</vt:lpstr>
      <vt:lpstr>characterParam</vt:lpstr>
      <vt:lpstr>_armor</vt:lpstr>
      <vt:lpstr>_weapons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2019-08-11T19:41:30Z</dcterms:modified>
</cp:coreProperties>
</file>