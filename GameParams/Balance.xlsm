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 activeTab="1"/>
  </bookViews>
  <sheets>
    <sheet name="weaponParam" sheetId="11" r:id="rId1"/>
    <sheet name="itemParam" sheetId="23" r:id="rId2"/>
    <sheet name="statParam" sheetId="13" r:id="rId3"/>
    <sheet name="characterParam" sheetId="18" r:id="rId4"/>
    <sheet name="_armor" sheetId="12" r:id="rId5"/>
    <sheet name="_weapons" sheetId="9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C10" i="13"/>
  <c r="B10"/>
  <c r="E4" i="9"/>
  <c r="F4"/>
  <c r="E3"/>
  <c r="F3"/>
  <c r="F2"/>
  <c r="E2"/>
  <c r="D9" i="22"/>
  <c r="D3"/>
  <c r="D4"/>
  <c r="D5"/>
  <c r="D6"/>
  <c r="D7"/>
  <c r="D8"/>
  <c r="D10"/>
  <c r="D11"/>
  <c r="D12"/>
  <c r="D2"/>
  <c r="S67" i="9"/>
  <c r="E67" s="1"/>
  <c r="M67"/>
  <c r="H67"/>
  <c r="D13" i="22" l="1"/>
  <c r="F67" i="9"/>
  <c r="S66"/>
  <c r="F66" s="1"/>
  <c r="S62"/>
  <c r="F62" s="1"/>
  <c r="H62"/>
  <c r="S63"/>
  <c r="S64"/>
  <c r="F64" s="1"/>
  <c r="H64"/>
  <c r="S65"/>
  <c r="H65"/>
  <c r="H66"/>
  <c r="S61"/>
  <c r="E61" s="1"/>
  <c r="H61"/>
  <c r="U54"/>
  <c r="U60" s="1"/>
  <c r="S60" s="1"/>
  <c r="V54"/>
  <c r="V60" s="1"/>
  <c r="H60" s="1"/>
  <c r="S22"/>
  <c r="H48"/>
  <c r="S48"/>
  <c r="E48" s="1"/>
  <c r="M60"/>
  <c r="M66" s="1"/>
  <c r="F48" l="1"/>
  <c r="S54"/>
  <c r="F65"/>
  <c r="E65"/>
  <c r="E63"/>
  <c r="F63"/>
  <c r="E66"/>
  <c r="E62"/>
  <c r="E64"/>
  <c r="F61"/>
  <c r="H54"/>
  <c r="F60"/>
  <c r="E60"/>
  <c r="F54" l="1"/>
  <c r="E54"/>
  <c r="U50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F50" l="1"/>
  <c r="E50"/>
  <c r="H57"/>
  <c r="V63"/>
  <c r="H63" s="1"/>
  <c r="F43"/>
  <c r="S52"/>
  <c r="E52" s="1"/>
  <c r="U56"/>
  <c r="S56" s="1"/>
  <c r="F56" s="1"/>
  <c r="S53"/>
  <c r="F53" s="1"/>
  <c r="F45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E53" l="1"/>
  <c r="F52"/>
  <c r="E56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1" i="12"/>
  <c r="E249"/>
  <c r="H248"/>
  <c r="E248"/>
  <c r="F253"/>
  <c r="G248"/>
  <c r="G249"/>
  <c r="D250"/>
  <c r="H250"/>
  <c r="H252"/>
  <c r="D249"/>
  <c r="F250"/>
  <c r="E252"/>
  <c r="F248"/>
  <c r="F251"/>
  <c r="F252"/>
  <c r="D253"/>
  <c r="D248"/>
  <c r="G252"/>
  <c r="E250"/>
  <c r="F249"/>
  <c r="G251"/>
  <c r="H251"/>
  <c r="G250"/>
  <c r="E251"/>
  <c r="H249"/>
  <c r="G253"/>
  <c r="H240" i="9"/>
  <c r="D252" i="12"/>
  <c r="H253"/>
  <c r="E253"/>
  <c r="S240" i="9"/>
  <c r="Q239" l="1"/>
  <c r="H220"/>
  <c r="H235"/>
  <c r="H228"/>
  <c r="H208"/>
  <c r="H223"/>
  <c r="F240"/>
  <c r="H204"/>
  <c r="H227"/>
  <c r="H206"/>
  <c r="H222"/>
  <c r="H231"/>
  <c r="H224"/>
  <c r="H229"/>
  <c r="H230"/>
  <c r="H221"/>
  <c r="H219"/>
  <c r="H234"/>
  <c r="S239"/>
  <c r="F239" s="1"/>
  <c r="H225"/>
  <c r="E240"/>
  <c r="H233"/>
  <c r="H232"/>
  <c r="H138" l="1"/>
  <c r="H105"/>
  <c r="H143"/>
  <c r="H150"/>
  <c r="H167"/>
  <c r="H184"/>
  <c r="H163"/>
  <c r="H144"/>
  <c r="H91"/>
  <c r="H93"/>
  <c r="H129"/>
  <c r="H113"/>
  <c r="H130"/>
  <c r="H88"/>
  <c r="H136"/>
  <c r="H112"/>
  <c r="H162"/>
  <c r="H110"/>
  <c r="H177"/>
  <c r="H154"/>
  <c r="H133"/>
  <c r="H189"/>
  <c r="H166"/>
  <c r="H87"/>
  <c r="H178"/>
  <c r="H176"/>
  <c r="H159"/>
  <c r="H92"/>
  <c r="H134"/>
  <c r="H160"/>
  <c r="H98"/>
  <c r="H173"/>
  <c r="H172"/>
  <c r="H156"/>
  <c r="H128"/>
  <c r="H107"/>
  <c r="S169"/>
  <c r="H127"/>
  <c r="H99"/>
  <c r="H135"/>
  <c r="H90"/>
  <c r="H186"/>
  <c r="H155"/>
  <c r="H139"/>
  <c r="S151"/>
  <c r="H86"/>
  <c r="H182"/>
  <c r="S175"/>
  <c r="E239"/>
  <c r="H179"/>
  <c r="H164"/>
  <c r="H190"/>
  <c r="S91"/>
  <c r="H170"/>
  <c r="H89"/>
  <c r="H158"/>
  <c r="H174"/>
  <c r="H108"/>
  <c r="H119"/>
  <c r="H192"/>
  <c r="H169"/>
  <c r="H137"/>
  <c r="H115"/>
  <c r="H141"/>
  <c r="S85"/>
  <c r="H140"/>
  <c r="H101"/>
  <c r="H126"/>
  <c r="S139"/>
  <c r="H149"/>
  <c r="H106"/>
  <c r="H111"/>
  <c r="H193"/>
  <c r="H152"/>
  <c r="H122"/>
  <c r="H118"/>
  <c r="H151"/>
  <c r="H171"/>
  <c r="H161"/>
  <c r="H185"/>
  <c r="H102"/>
  <c r="H131"/>
  <c r="H114"/>
  <c r="H181"/>
  <c r="H148"/>
  <c r="H104"/>
  <c r="H145"/>
  <c r="H157"/>
  <c r="H183"/>
  <c r="S140"/>
  <c r="H191"/>
  <c r="H153"/>
  <c r="H121"/>
  <c r="H96"/>
  <c r="H165"/>
  <c r="H203"/>
  <c r="H147"/>
  <c r="H117"/>
  <c r="S133"/>
  <c r="H120"/>
  <c r="H180"/>
  <c r="H142"/>
  <c r="H116"/>
  <c r="H94"/>
  <c r="H100"/>
  <c r="H125"/>
  <c r="H187"/>
  <c r="H146"/>
  <c r="H175"/>
  <c r="H124"/>
  <c r="H103"/>
  <c r="H97"/>
  <c r="H168"/>
  <c r="H188"/>
  <c r="H85"/>
  <c r="H123"/>
  <c r="H109"/>
  <c r="H132"/>
  <c r="H95"/>
  <c r="Q222" l="1"/>
  <c r="Q221" l="1"/>
  <c r="Q220" l="1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E151"/>
  <c r="S121"/>
  <c r="F151"/>
  <c r="F85"/>
  <c r="F139"/>
  <c r="E169"/>
  <c r="E175"/>
  <c r="E133"/>
  <c r="F140"/>
  <c r="E139"/>
  <c r="E140"/>
  <c r="E85"/>
  <c r="F121"/>
  <c r="E91"/>
  <c r="F91"/>
  <c r="F133"/>
  <c r="F175"/>
  <c r="F169"/>
  <c r="Q111" l="1"/>
  <c r="Q112"/>
  <c r="Q113"/>
  <c r="Q114"/>
  <c r="Q116"/>
  <c r="Q117"/>
  <c r="Q120"/>
  <c r="Q109"/>
  <c r="Q97"/>
  <c r="S97"/>
  <c r="S109"/>
  <c r="F109" s="1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M139" l="1"/>
  <c r="M91"/>
  <c r="M140"/>
  <c r="M133"/>
  <c r="M85"/>
  <c r="Q135"/>
  <c r="M175"/>
  <c r="M151"/>
  <c r="M169"/>
  <c r="Q182"/>
  <c r="Q158"/>
  <c r="X101"/>
  <c r="Q136" l="1"/>
  <c r="Y101"/>
  <c r="Q183"/>
  <c r="Q159"/>
  <c r="G227" i="12"/>
  <c r="H100"/>
  <c r="F126"/>
  <c r="E127"/>
  <c r="F227"/>
  <c r="G221"/>
  <c r="F96"/>
  <c r="H223"/>
  <c r="H134"/>
  <c r="E229"/>
  <c r="E208"/>
  <c r="H121"/>
  <c r="D77"/>
  <c r="G58"/>
  <c r="F77"/>
  <c r="S98" i="9"/>
  <c r="E234" i="12"/>
  <c r="F205"/>
  <c r="D92"/>
  <c r="E235"/>
  <c r="G207"/>
  <c r="F171"/>
  <c r="D170"/>
  <c r="G171"/>
  <c r="H187"/>
  <c r="E60"/>
  <c r="F102"/>
  <c r="D241"/>
  <c r="E120"/>
  <c r="H212"/>
  <c r="G201"/>
  <c r="E225"/>
  <c r="G96"/>
  <c r="H221"/>
  <c r="E178"/>
  <c r="H97"/>
  <c r="D50"/>
  <c r="H206"/>
  <c r="D110"/>
  <c r="H234"/>
  <c r="E66"/>
  <c r="E187"/>
  <c r="F72"/>
  <c r="E108"/>
  <c r="D167"/>
  <c r="H78"/>
  <c r="D109"/>
  <c r="H137"/>
  <c r="F71"/>
  <c r="D59"/>
  <c r="F58"/>
  <c r="G122"/>
  <c r="F232"/>
  <c r="D53"/>
  <c r="E137"/>
  <c r="G85"/>
  <c r="H52"/>
  <c r="G82"/>
  <c r="D180"/>
  <c r="E54"/>
  <c r="D214"/>
  <c r="D51"/>
  <c r="F178"/>
  <c r="D148"/>
  <c r="G233"/>
  <c r="H142"/>
  <c r="F139"/>
  <c r="G175"/>
  <c r="F152"/>
  <c r="E189"/>
  <c r="H143"/>
  <c r="H159"/>
  <c r="E63"/>
  <c r="H113"/>
  <c r="E130"/>
  <c r="G64"/>
  <c r="G73"/>
  <c r="G246"/>
  <c r="F124"/>
  <c r="D121"/>
  <c r="E167"/>
  <c r="F220"/>
  <c r="D140"/>
  <c r="E110"/>
  <c r="F183"/>
  <c r="F94"/>
  <c r="F221"/>
  <c r="E79"/>
  <c r="G120"/>
  <c r="F118"/>
  <c r="D105"/>
  <c r="H215"/>
  <c r="F174"/>
  <c r="D238"/>
  <c r="E146"/>
  <c r="H144"/>
  <c r="H175"/>
  <c r="H210"/>
  <c r="E99"/>
  <c r="E243"/>
  <c r="D107"/>
  <c r="G114"/>
  <c r="E70"/>
  <c r="G108"/>
  <c r="D70"/>
  <c r="H63"/>
  <c r="F105"/>
  <c r="F60"/>
  <c r="H169"/>
  <c r="E152"/>
  <c r="H68"/>
  <c r="D111"/>
  <c r="E231"/>
  <c r="S176" i="9"/>
  <c r="H209" i="12"/>
  <c r="H213"/>
  <c r="F153"/>
  <c r="H214"/>
  <c r="H72"/>
  <c r="H49"/>
  <c r="F67"/>
  <c r="H150"/>
  <c r="F74"/>
  <c r="H222"/>
  <c r="S157" i="9"/>
  <c r="G148" i="12"/>
  <c r="D128"/>
  <c r="D191"/>
  <c r="H243"/>
  <c r="G199"/>
  <c r="E161"/>
  <c r="G178"/>
  <c r="H233"/>
  <c r="E164"/>
  <c r="E201"/>
  <c r="E64"/>
  <c r="H98"/>
  <c r="E139"/>
  <c r="G71"/>
  <c r="H24"/>
  <c r="E97" i="9"/>
  <c r="F169" i="12"/>
  <c r="G165"/>
  <c r="F106"/>
  <c r="H171"/>
  <c r="D149"/>
  <c r="G147"/>
  <c r="F160"/>
  <c r="H179"/>
  <c r="H202"/>
  <c r="H218"/>
  <c r="S124" i="9"/>
  <c r="F116" i="12"/>
  <c r="F191"/>
  <c r="D234"/>
  <c r="G245"/>
  <c r="F110"/>
  <c r="D246"/>
  <c r="E195"/>
  <c r="D139"/>
  <c r="E190"/>
  <c r="D76"/>
  <c r="F148"/>
  <c r="S100" i="9"/>
  <c r="E200" i="12"/>
  <c r="G189"/>
  <c r="D213"/>
  <c r="H127"/>
  <c r="H86"/>
  <c r="D165"/>
  <c r="H238"/>
  <c r="F62"/>
  <c r="D222"/>
  <c r="H170"/>
  <c r="H59"/>
  <c r="D237"/>
  <c r="F63"/>
  <c r="D154"/>
  <c r="D226"/>
  <c r="G88"/>
  <c r="E103"/>
  <c r="E67"/>
  <c r="F76"/>
  <c r="H29"/>
  <c r="G193"/>
  <c r="H199"/>
  <c r="E227"/>
  <c r="S219" i="9"/>
  <c r="G242" i="12"/>
  <c r="F215"/>
  <c r="D223"/>
  <c r="H224"/>
  <c r="F228"/>
  <c r="D164"/>
  <c r="D95"/>
  <c r="H173"/>
  <c r="H216"/>
  <c r="H230"/>
  <c r="E97"/>
  <c r="E198"/>
  <c r="H151"/>
  <c r="D75"/>
  <c r="F29"/>
  <c r="F157" i="9"/>
  <c r="G197" i="12"/>
  <c r="H184"/>
  <c r="G172"/>
  <c r="E214"/>
  <c r="F195"/>
  <c r="G113"/>
  <c r="F243"/>
  <c r="H123"/>
  <c r="E230"/>
  <c r="H197"/>
  <c r="G230"/>
  <c r="F247"/>
  <c r="D166"/>
  <c r="H33"/>
  <c r="F206"/>
  <c r="F107"/>
  <c r="D88"/>
  <c r="G115"/>
  <c r="H201"/>
  <c r="D65"/>
  <c r="G146"/>
  <c r="H110"/>
  <c r="H89"/>
  <c r="E239"/>
  <c r="E102"/>
  <c r="F57"/>
  <c r="H226" i="9"/>
  <c r="H152" i="12"/>
  <c r="G80"/>
  <c r="F172"/>
  <c r="D233"/>
  <c r="H75"/>
  <c r="H105"/>
  <c r="H55"/>
  <c r="G192"/>
  <c r="F202"/>
  <c r="H155"/>
  <c r="E237"/>
  <c r="E210"/>
  <c r="F59"/>
  <c r="G32"/>
  <c r="E121"/>
  <c r="E179"/>
  <c r="G75"/>
  <c r="D193"/>
  <c r="H165"/>
  <c r="H57"/>
  <c r="H96"/>
  <c r="H50"/>
  <c r="G90"/>
  <c r="E207"/>
  <c r="F229"/>
  <c r="H192"/>
  <c r="G240"/>
  <c r="F231"/>
  <c r="D115"/>
  <c r="H140"/>
  <c r="H247"/>
  <c r="H174"/>
  <c r="E88"/>
  <c r="E206"/>
  <c r="H157"/>
  <c r="D84"/>
  <c r="H61"/>
  <c r="S141" i="9"/>
  <c r="F188" i="12"/>
  <c r="D182"/>
  <c r="G126"/>
  <c r="H162"/>
  <c r="G181"/>
  <c r="H148"/>
  <c r="F204"/>
  <c r="E199"/>
  <c r="H103"/>
  <c r="E224"/>
  <c r="D181"/>
  <c r="G125"/>
  <c r="F213"/>
  <c r="D118"/>
  <c r="E124"/>
  <c r="D141"/>
  <c r="G89"/>
  <c r="H172"/>
  <c r="H186"/>
  <c r="E245"/>
  <c r="D85"/>
  <c r="E115"/>
  <c r="F128"/>
  <c r="G135"/>
  <c r="D71"/>
  <c r="F184"/>
  <c r="E74"/>
  <c r="G69"/>
  <c r="E128"/>
  <c r="H69"/>
  <c r="G196"/>
  <c r="D171"/>
  <c r="G86"/>
  <c r="G124"/>
  <c r="H83"/>
  <c r="E107"/>
  <c r="G177"/>
  <c r="E202"/>
  <c r="G220"/>
  <c r="D63"/>
  <c r="H28"/>
  <c r="E168"/>
  <c r="F217"/>
  <c r="D144"/>
  <c r="F225"/>
  <c r="E177"/>
  <c r="E180"/>
  <c r="F145"/>
  <c r="G139"/>
  <c r="E113"/>
  <c r="G200"/>
  <c r="G102"/>
  <c r="F129"/>
  <c r="H120"/>
  <c r="H130"/>
  <c r="H217"/>
  <c r="E148"/>
  <c r="H135"/>
  <c r="H94"/>
  <c r="E49"/>
  <c r="H64"/>
  <c r="S86" i="9"/>
  <c r="D185" i="12"/>
  <c r="G225"/>
  <c r="F100"/>
  <c r="H153"/>
  <c r="G174"/>
  <c r="F165"/>
  <c r="D202"/>
  <c r="E166"/>
  <c r="E165"/>
  <c r="E106"/>
  <c r="D127"/>
  <c r="E101"/>
  <c r="G134"/>
  <c r="F182"/>
  <c r="D216"/>
  <c r="G121"/>
  <c r="F92"/>
  <c r="D211"/>
  <c r="H112"/>
  <c r="D142"/>
  <c r="E78"/>
  <c r="H211"/>
  <c r="D114"/>
  <c r="D243"/>
  <c r="D169"/>
  <c r="H240"/>
  <c r="E83"/>
  <c r="H77"/>
  <c r="H166"/>
  <c r="E86"/>
  <c r="G214"/>
  <c r="F234"/>
  <c r="E68"/>
  <c r="S152" i="9"/>
  <c r="E105" i="12"/>
  <c r="H58"/>
  <c r="G169"/>
  <c r="F99"/>
  <c r="E150"/>
  <c r="D174"/>
  <c r="E212"/>
  <c r="G56"/>
  <c r="F55"/>
  <c r="E184"/>
  <c r="E218"/>
  <c r="G194"/>
  <c r="E153"/>
  <c r="D125"/>
  <c r="E143"/>
  <c r="F222"/>
  <c r="D240"/>
  <c r="E134"/>
  <c r="F218"/>
  <c r="G105"/>
  <c r="E109"/>
  <c r="H126"/>
  <c r="D209"/>
  <c r="D55"/>
  <c r="E205"/>
  <c r="H102"/>
  <c r="E217"/>
  <c r="F65"/>
  <c r="S235" i="9"/>
  <c r="G190" i="12"/>
  <c r="G100"/>
  <c r="F111"/>
  <c r="H114"/>
  <c r="G209"/>
  <c r="D102"/>
  <c r="D147"/>
  <c r="H106"/>
  <c r="H109"/>
  <c r="H128"/>
  <c r="S99" i="9"/>
  <c r="F127" i="12"/>
  <c r="G229"/>
  <c r="F104"/>
  <c r="E141"/>
  <c r="D163"/>
  <c r="G145"/>
  <c r="F134"/>
  <c r="H115"/>
  <c r="H198"/>
  <c r="E129"/>
  <c r="E157"/>
  <c r="H147"/>
  <c r="D200"/>
  <c r="D96"/>
  <c r="D60"/>
  <c r="H156"/>
  <c r="F85"/>
  <c r="F52"/>
  <c r="H242"/>
  <c r="H30"/>
  <c r="F136"/>
  <c r="E126"/>
  <c r="G52"/>
  <c r="G213"/>
  <c r="D54"/>
  <c r="F93"/>
  <c r="F131"/>
  <c r="D235"/>
  <c r="H158"/>
  <c r="D87"/>
  <c r="H66"/>
  <c r="F83"/>
  <c r="E176" i="9"/>
  <c r="H95" i="12"/>
  <c r="G59"/>
  <c r="F98"/>
  <c r="E117"/>
  <c r="D205"/>
  <c r="E221"/>
  <c r="G180"/>
  <c r="F166"/>
  <c r="D145"/>
  <c r="G205"/>
  <c r="F138"/>
  <c r="D178"/>
  <c r="H208"/>
  <c r="D90"/>
  <c r="E91"/>
  <c r="H236"/>
  <c r="H160"/>
  <c r="E100"/>
  <c r="G63"/>
  <c r="S234" i="9"/>
  <c r="G186" i="12"/>
  <c r="D218"/>
  <c r="G131"/>
  <c r="H124"/>
  <c r="G142"/>
  <c r="F150"/>
  <c r="F167"/>
  <c r="H90"/>
  <c r="H185"/>
  <c r="H182"/>
  <c r="S123" i="9"/>
  <c r="G163" i="12"/>
  <c r="E246"/>
  <c r="G106"/>
  <c r="H231"/>
  <c r="F177"/>
  <c r="G127"/>
  <c r="F240"/>
  <c r="H181"/>
  <c r="E188"/>
  <c r="H191"/>
  <c r="E59"/>
  <c r="E223"/>
  <c r="E136"/>
  <c r="G136"/>
  <c r="E158"/>
  <c r="D98"/>
  <c r="G81"/>
  <c r="F81"/>
  <c r="F187"/>
  <c r="G61"/>
  <c r="D189"/>
  <c r="H204"/>
  <c r="F61"/>
  <c r="F91"/>
  <c r="E69"/>
  <c r="S110" i="9"/>
  <c r="G187" i="12"/>
  <c r="G155"/>
  <c r="D120"/>
  <c r="E174"/>
  <c r="H79"/>
  <c r="G79"/>
  <c r="F25"/>
  <c r="E175"/>
  <c r="H80"/>
  <c r="G110"/>
  <c r="G167"/>
  <c r="H25"/>
  <c r="F152" i="9"/>
  <c r="F101" i="12"/>
  <c r="D108"/>
  <c r="G188"/>
  <c r="G224"/>
  <c r="D175"/>
  <c r="E173"/>
  <c r="G182"/>
  <c r="F180"/>
  <c r="D196"/>
  <c r="F142"/>
  <c r="E82"/>
  <c r="H228"/>
  <c r="D100"/>
  <c r="D69"/>
  <c r="G68"/>
  <c r="F53"/>
  <c r="D179"/>
  <c r="F201"/>
  <c r="G223"/>
  <c r="D217"/>
  <c r="G138"/>
  <c r="E192"/>
  <c r="F223"/>
  <c r="H207"/>
  <c r="H92"/>
  <c r="E131"/>
  <c r="G195"/>
  <c r="D204"/>
  <c r="D227"/>
  <c r="G109"/>
  <c r="F141"/>
  <c r="D230"/>
  <c r="G222"/>
  <c r="D247"/>
  <c r="F194"/>
  <c r="D229"/>
  <c r="E215"/>
  <c r="E181"/>
  <c r="G159"/>
  <c r="D225"/>
  <c r="E133"/>
  <c r="H139"/>
  <c r="E56"/>
  <c r="G23"/>
  <c r="F140"/>
  <c r="D82"/>
  <c r="D161"/>
  <c r="F230"/>
  <c r="H73"/>
  <c r="D176"/>
  <c r="E149"/>
  <c r="G93"/>
  <c r="F137"/>
  <c r="E154"/>
  <c r="H167"/>
  <c r="E75"/>
  <c r="F80"/>
  <c r="H84"/>
  <c r="G158"/>
  <c r="E155"/>
  <c r="H74"/>
  <c r="D203"/>
  <c r="F151"/>
  <c r="D215"/>
  <c r="E172"/>
  <c r="D187"/>
  <c r="F157"/>
  <c r="D194"/>
  <c r="G206"/>
  <c r="G202"/>
  <c r="D224"/>
  <c r="G204"/>
  <c r="E89"/>
  <c r="H226"/>
  <c r="D116"/>
  <c r="E81"/>
  <c r="G53"/>
  <c r="H71"/>
  <c r="G160"/>
  <c r="D126"/>
  <c r="D157"/>
  <c r="H154"/>
  <c r="F224"/>
  <c r="D136"/>
  <c r="G116"/>
  <c r="H176"/>
  <c r="E204"/>
  <c r="H203"/>
  <c r="G185"/>
  <c r="F192"/>
  <c r="D137"/>
  <c r="E145"/>
  <c r="G123"/>
  <c r="D150"/>
  <c r="D155"/>
  <c r="G111"/>
  <c r="G144"/>
  <c r="G183"/>
  <c r="D68"/>
  <c r="D190"/>
  <c r="G179"/>
  <c r="F246"/>
  <c r="F207"/>
  <c r="H196"/>
  <c r="D79"/>
  <c r="H62"/>
  <c r="F158"/>
  <c r="F103"/>
  <c r="S142" i="9"/>
  <c r="H232" i="12"/>
  <c r="H237"/>
  <c r="F87"/>
  <c r="D52"/>
  <c r="H23"/>
  <c r="D197"/>
  <c r="G184"/>
  <c r="H168"/>
  <c r="H107"/>
  <c r="D86"/>
  <c r="H32"/>
  <c r="F24"/>
  <c r="D245"/>
  <c r="E142"/>
  <c r="E109" i="9"/>
  <c r="H93" i="12"/>
  <c r="G157"/>
  <c r="F208"/>
  <c r="D183"/>
  <c r="G141"/>
  <c r="F214"/>
  <c r="D232"/>
  <c r="E226"/>
  <c r="D153"/>
  <c r="F233"/>
  <c r="F147"/>
  <c r="E90"/>
  <c r="D239"/>
  <c r="F108"/>
  <c r="E211"/>
  <c r="H87"/>
  <c r="H76"/>
  <c r="F143"/>
  <c r="D172"/>
  <c r="G94"/>
  <c r="F164"/>
  <c r="D221"/>
  <c r="E191"/>
  <c r="F186"/>
  <c r="D152"/>
  <c r="H88"/>
  <c r="D186"/>
  <c r="S134" i="9"/>
  <c r="G104" i="12"/>
  <c r="G164"/>
  <c r="F185"/>
  <c r="H146"/>
  <c r="G132"/>
  <c r="F156"/>
  <c r="D93"/>
  <c r="H235"/>
  <c r="E163"/>
  <c r="H138"/>
  <c r="D78"/>
  <c r="E236"/>
  <c r="F199"/>
  <c r="F181"/>
  <c r="D83"/>
  <c r="F193"/>
  <c r="E209"/>
  <c r="F84"/>
  <c r="E132"/>
  <c r="E151"/>
  <c r="G244"/>
  <c r="E92"/>
  <c r="F66"/>
  <c r="E147"/>
  <c r="H244"/>
  <c r="G22"/>
  <c r="D123"/>
  <c r="F219"/>
  <c r="E55"/>
  <c r="H190"/>
  <c r="G60"/>
  <c r="H51"/>
  <c r="G62"/>
  <c r="D188"/>
  <c r="G51"/>
  <c r="D244"/>
  <c r="F97"/>
  <c r="G153"/>
  <c r="F242"/>
  <c r="D129"/>
  <c r="E125"/>
  <c r="G216"/>
  <c r="F209"/>
  <c r="D135"/>
  <c r="G247"/>
  <c r="G150"/>
  <c r="G129"/>
  <c r="E71"/>
  <c r="D206"/>
  <c r="G128"/>
  <c r="E85"/>
  <c r="G65"/>
  <c r="H65"/>
  <c r="F197"/>
  <c r="D192"/>
  <c r="G215"/>
  <c r="E170"/>
  <c r="F95"/>
  <c r="D207"/>
  <c r="G168"/>
  <c r="F211"/>
  <c r="D158"/>
  <c r="F200"/>
  <c r="F97" i="9"/>
  <c r="E196" i="12"/>
  <c r="D91"/>
  <c r="G137"/>
  <c r="E111"/>
  <c r="G140"/>
  <c r="G243"/>
  <c r="F89"/>
  <c r="H194"/>
  <c r="H178"/>
  <c r="H136"/>
  <c r="E52"/>
  <c r="H117"/>
  <c r="D130"/>
  <c r="H239"/>
  <c r="H177"/>
  <c r="E233"/>
  <c r="E58"/>
  <c r="F79"/>
  <c r="G107"/>
  <c r="E62"/>
  <c r="F241"/>
  <c r="E53"/>
  <c r="E159"/>
  <c r="D173"/>
  <c r="E112"/>
  <c r="G25"/>
  <c r="D231"/>
  <c r="D124"/>
  <c r="E95"/>
  <c r="H108"/>
  <c r="G84"/>
  <c r="F86"/>
  <c r="H82"/>
  <c r="F176"/>
  <c r="D49"/>
  <c r="F121"/>
  <c r="E96"/>
  <c r="F82"/>
  <c r="G77"/>
  <c r="S122" i="9"/>
  <c r="G234" i="12"/>
  <c r="F159"/>
  <c r="D134"/>
  <c r="G117"/>
  <c r="F132"/>
  <c r="D117"/>
  <c r="E193"/>
  <c r="F216"/>
  <c r="E176"/>
  <c r="D62"/>
  <c r="F120"/>
  <c r="F155"/>
  <c r="E80"/>
  <c r="H70"/>
  <c r="F54"/>
  <c r="F163"/>
  <c r="D104"/>
  <c r="E182"/>
  <c r="F161"/>
  <c r="F149"/>
  <c r="D168"/>
  <c r="G152"/>
  <c r="G198"/>
  <c r="D228"/>
  <c r="E144"/>
  <c r="D56"/>
  <c r="D99"/>
  <c r="G218"/>
  <c r="D162"/>
  <c r="E162"/>
  <c r="G130"/>
  <c r="F173"/>
  <c r="D106"/>
  <c r="E232"/>
  <c r="H195"/>
  <c r="D73"/>
  <c r="D101"/>
  <c r="D159"/>
  <c r="G219"/>
  <c r="H164"/>
  <c r="H118"/>
  <c r="E72"/>
  <c r="G66"/>
  <c r="F122"/>
  <c r="F146"/>
  <c r="G166"/>
  <c r="H104"/>
  <c r="E98"/>
  <c r="D177"/>
  <c r="H205"/>
  <c r="F31"/>
  <c r="H161"/>
  <c r="H225"/>
  <c r="F90"/>
  <c r="E240"/>
  <c r="G54"/>
  <c r="F51"/>
  <c r="H53"/>
  <c r="H132"/>
  <c r="F75"/>
  <c r="G173"/>
  <c r="S170" i="9"/>
  <c r="G176" i="12"/>
  <c r="F117"/>
  <c r="D210"/>
  <c r="E118"/>
  <c r="F198"/>
  <c r="F179"/>
  <c r="D208"/>
  <c r="F175"/>
  <c r="H91"/>
  <c r="E76"/>
  <c r="G241"/>
  <c r="G203"/>
  <c r="E160"/>
  <c r="G50"/>
  <c r="H56"/>
  <c r="D89"/>
  <c r="E123"/>
  <c r="G226"/>
  <c r="D138"/>
  <c r="D131"/>
  <c r="F203"/>
  <c r="G91"/>
  <c r="E203"/>
  <c r="H122"/>
  <c r="D132"/>
  <c r="S181" i="9"/>
  <c r="D220" i="12"/>
  <c r="G101"/>
  <c r="F170"/>
  <c r="H163"/>
  <c r="D143"/>
  <c r="F115"/>
  <c r="D219"/>
  <c r="E114"/>
  <c r="H246"/>
  <c r="H229"/>
  <c r="G133"/>
  <c r="H227"/>
  <c r="G95"/>
  <c r="D119"/>
  <c r="E61"/>
  <c r="H200"/>
  <c r="G78"/>
  <c r="G29"/>
  <c r="E219"/>
  <c r="G76"/>
  <c r="G99"/>
  <c r="E138"/>
  <c r="H31"/>
  <c r="D146"/>
  <c r="F69"/>
  <c r="E244"/>
  <c r="G211"/>
  <c r="H241"/>
  <c r="H149"/>
  <c r="D66"/>
  <c r="G57"/>
  <c r="F49"/>
  <c r="G212"/>
  <c r="D80"/>
  <c r="H81"/>
  <c r="E171"/>
  <c r="S111" i="9"/>
  <c r="D97" i="12"/>
  <c r="G191"/>
  <c r="F244"/>
  <c r="H131"/>
  <c r="G92"/>
  <c r="F212"/>
  <c r="D236"/>
  <c r="E241"/>
  <c r="H133"/>
  <c r="D81"/>
  <c r="F119"/>
  <c r="E104"/>
  <c r="D74"/>
  <c r="H67"/>
  <c r="F78"/>
  <c r="G151"/>
  <c r="F190"/>
  <c r="D151"/>
  <c r="E247"/>
  <c r="G97"/>
  <c r="F112"/>
  <c r="D133"/>
  <c r="E119"/>
  <c r="E122"/>
  <c r="E238"/>
  <c r="E216"/>
  <c r="F109"/>
  <c r="D122"/>
  <c r="G232"/>
  <c r="G156"/>
  <c r="D201"/>
  <c r="E169"/>
  <c r="G208"/>
  <c r="F226"/>
  <c r="E185"/>
  <c r="F168"/>
  <c r="E213"/>
  <c r="H188"/>
  <c r="E194"/>
  <c r="G170"/>
  <c r="H99"/>
  <c r="H129"/>
  <c r="E93"/>
  <c r="F56"/>
  <c r="F196"/>
  <c r="H193"/>
  <c r="F210"/>
  <c r="H116"/>
  <c r="D57"/>
  <c r="F23"/>
  <c r="F88"/>
  <c r="F64"/>
  <c r="G162"/>
  <c r="G118"/>
  <c r="E220"/>
  <c r="F162"/>
  <c r="E77"/>
  <c r="G70"/>
  <c r="F28"/>
  <c r="G119"/>
  <c r="E140"/>
  <c r="D184"/>
  <c r="H183"/>
  <c r="S92" i="9"/>
  <c r="F135" i="12"/>
  <c r="G149"/>
  <c r="F144"/>
  <c r="H220"/>
  <c r="D195"/>
  <c r="G143"/>
  <c r="D198"/>
  <c r="E222"/>
  <c r="H125"/>
  <c r="E116"/>
  <c r="E242"/>
  <c r="H141"/>
  <c r="D67"/>
  <c r="F50"/>
  <c r="F68"/>
  <c r="S112" i="9"/>
  <c r="G217" i="12"/>
  <c r="F133"/>
  <c r="D156"/>
  <c r="G103"/>
  <c r="F130"/>
  <c r="D103"/>
  <c r="E197"/>
  <c r="F113"/>
  <c r="E186"/>
  <c r="D58"/>
  <c r="F189"/>
  <c r="D94"/>
  <c r="G228"/>
  <c r="D113"/>
  <c r="F123"/>
  <c r="D112"/>
  <c r="G210"/>
  <c r="G98"/>
  <c r="D242"/>
  <c r="G154"/>
  <c r="E87"/>
  <c r="H180"/>
  <c r="F114"/>
  <c r="G161"/>
  <c r="H111"/>
  <c r="H145"/>
  <c r="E73"/>
  <c r="F73"/>
  <c r="G112"/>
  <c r="H219"/>
  <c r="G231"/>
  <c r="E183"/>
  <c r="E156"/>
  <c r="G31"/>
  <c r="E65"/>
  <c r="G55"/>
  <c r="F125"/>
  <c r="D199"/>
  <c r="E50"/>
  <c r="D212"/>
  <c r="D61"/>
  <c r="F22"/>
  <c r="G67"/>
  <c r="H189"/>
  <c r="H245"/>
  <c r="F245"/>
  <c r="E94"/>
  <c r="E84"/>
  <c r="F70"/>
  <c r="G72"/>
  <c r="D64"/>
  <c r="F154"/>
  <c r="G87"/>
  <c r="E86" i="9"/>
  <c r="F235"/>
  <c r="E112"/>
  <c r="S125"/>
  <c r="S158"/>
  <c r="E100"/>
  <c r="S113"/>
  <c r="E134"/>
  <c r="E92"/>
  <c r="S153"/>
  <c r="F153"/>
  <c r="F219"/>
  <c r="F92"/>
  <c r="E57" i="12"/>
  <c r="E152" i="9"/>
  <c r="E135" i="12"/>
  <c r="D160"/>
  <c r="H85"/>
  <c r="S101" i="9"/>
  <c r="S114"/>
  <c r="E157"/>
  <c r="F141"/>
  <c r="S182"/>
  <c r="E124"/>
  <c r="F98"/>
  <c r="F124"/>
  <c r="E234"/>
  <c r="S144"/>
  <c r="F144"/>
  <c r="H119" i="12"/>
  <c r="H54"/>
  <c r="H101"/>
  <c r="G74"/>
  <c r="E51"/>
  <c r="S171" i="9"/>
  <c r="F123"/>
  <c r="F114"/>
  <c r="S87"/>
  <c r="E123"/>
  <c r="F111"/>
  <c r="F86"/>
  <c r="E125"/>
  <c r="F170"/>
  <c r="F99"/>
  <c r="G28" i="12"/>
  <c r="H60"/>
  <c r="E228"/>
  <c r="G83"/>
  <c r="D72"/>
  <c r="G49"/>
  <c r="S102" i="9"/>
  <c r="E142"/>
  <c r="E182"/>
  <c r="S135"/>
  <c r="E141"/>
  <c r="E135"/>
  <c r="E158"/>
  <c r="F112"/>
  <c r="F110"/>
  <c r="F122"/>
  <c r="S143"/>
  <c r="S177"/>
  <c r="S93"/>
  <c r="S126"/>
  <c r="E99"/>
  <c r="E219"/>
  <c r="F176"/>
  <c r="S201"/>
  <c r="E113"/>
  <c r="S172"/>
  <c r="E110"/>
  <c r="S209"/>
  <c r="S220"/>
  <c r="S104"/>
  <c r="S206"/>
  <c r="S203"/>
  <c r="F126"/>
  <c r="S213"/>
  <c r="F213"/>
  <c r="S116"/>
  <c r="E116"/>
  <c r="F102"/>
  <c r="S103"/>
  <c r="E103" s="1"/>
  <c r="S210"/>
  <c r="S215"/>
  <c r="F87"/>
  <c r="S178"/>
  <c r="E178" s="1"/>
  <c r="S94"/>
  <c r="E126"/>
  <c r="F113"/>
  <c r="S154"/>
  <c r="S127"/>
  <c r="F172"/>
  <c r="S115"/>
  <c r="S145"/>
  <c r="F116"/>
  <c r="E177"/>
  <c r="F234"/>
  <c r="F171"/>
  <c r="E87"/>
  <c r="F210"/>
  <c r="S197"/>
  <c r="E102"/>
  <c r="F103"/>
  <c r="S183"/>
  <c r="E98"/>
  <c r="F201"/>
  <c r="S205"/>
  <c r="E201"/>
  <c r="F134"/>
  <c r="E209"/>
  <c r="F142"/>
  <c r="S199"/>
  <c r="F158"/>
  <c r="S136"/>
  <c r="E206"/>
  <c r="F154"/>
  <c r="E181"/>
  <c r="E171"/>
  <c r="S159"/>
  <c r="S146"/>
  <c r="F100"/>
  <c r="E210"/>
  <c r="E215"/>
  <c r="S128"/>
  <c r="S216"/>
  <c r="S88"/>
  <c r="E122"/>
  <c r="E170"/>
  <c r="F181"/>
  <c r="F101"/>
  <c r="E101"/>
  <c r="E114"/>
  <c r="E144"/>
  <c r="E143"/>
  <c r="E93"/>
  <c r="F197"/>
  <c r="E197"/>
  <c r="F183"/>
  <c r="E136"/>
  <c r="E146"/>
  <c r="F88"/>
  <c r="E88"/>
  <c r="M126" l="1"/>
  <c r="M125" s="1"/>
  <c r="M93"/>
  <c r="M177"/>
  <c r="M143"/>
  <c r="M135"/>
  <c r="M102"/>
  <c r="M101" s="1"/>
  <c r="M87"/>
  <c r="M171"/>
  <c r="M144"/>
  <c r="M182"/>
  <c r="M114"/>
  <c r="M113" s="1"/>
  <c r="M153"/>
  <c r="M158"/>
  <c r="I154" i="12"/>
  <c r="I70"/>
  <c r="I125"/>
  <c r="I73"/>
  <c r="I114"/>
  <c r="I123"/>
  <c r="I189"/>
  <c r="I113"/>
  <c r="I130"/>
  <c r="I133"/>
  <c r="M112" i="9"/>
  <c r="M111" s="1"/>
  <c r="I68" i="12"/>
  <c r="I50"/>
  <c r="I144"/>
  <c r="I135"/>
  <c r="M92" i="9"/>
  <c r="I162" i="12"/>
  <c r="I64"/>
  <c r="I88"/>
  <c r="I210"/>
  <c r="I196"/>
  <c r="I56"/>
  <c r="I168"/>
  <c r="I226"/>
  <c r="I109"/>
  <c r="I112"/>
  <c r="I190"/>
  <c r="I78"/>
  <c r="I119"/>
  <c r="I236"/>
  <c r="I212"/>
  <c r="I49"/>
  <c r="I69"/>
  <c r="I115"/>
  <c r="I170"/>
  <c r="M181" i="9"/>
  <c r="I203" i="12"/>
  <c r="I175"/>
  <c r="I179"/>
  <c r="I198"/>
  <c r="I117"/>
  <c r="M170" i="9"/>
  <c r="I75" i="12"/>
  <c r="I51"/>
  <c r="I90"/>
  <c r="I146"/>
  <c r="I122"/>
  <c r="I173"/>
  <c r="I149"/>
  <c r="I161"/>
  <c r="I163"/>
  <c r="I54"/>
  <c r="I155"/>
  <c r="I120"/>
  <c r="I216"/>
  <c r="I132"/>
  <c r="I159"/>
  <c r="M122" i="9"/>
  <c r="M121" s="1"/>
  <c r="I82" i="12"/>
  <c r="I121"/>
  <c r="I176"/>
  <c r="I86"/>
  <c r="I241"/>
  <c r="I79"/>
  <c r="I89"/>
  <c r="I200"/>
  <c r="I211"/>
  <c r="I95"/>
  <c r="I197"/>
  <c r="I209"/>
  <c r="I242"/>
  <c r="I97"/>
  <c r="I219"/>
  <c r="I66"/>
  <c r="I84"/>
  <c r="I193"/>
  <c r="I181"/>
  <c r="I199"/>
  <c r="I156"/>
  <c r="I185"/>
  <c r="M134" i="9"/>
  <c r="I186" i="12"/>
  <c r="I164"/>
  <c r="I143"/>
  <c r="I108"/>
  <c r="I147"/>
  <c r="I233"/>
  <c r="I214"/>
  <c r="I208"/>
  <c r="I87"/>
  <c r="M142" i="9"/>
  <c r="I103" i="12"/>
  <c r="I158"/>
  <c r="I207"/>
  <c r="I192"/>
  <c r="I224"/>
  <c r="I157"/>
  <c r="I151"/>
  <c r="I80"/>
  <c r="I137"/>
  <c r="I230"/>
  <c r="I140"/>
  <c r="I194"/>
  <c r="I141"/>
  <c r="I223"/>
  <c r="I201"/>
  <c r="I53"/>
  <c r="I142"/>
  <c r="I180"/>
  <c r="I101"/>
  <c r="M110" i="9"/>
  <c r="M109" s="1"/>
  <c r="I91" i="12"/>
  <c r="I61"/>
  <c r="I187"/>
  <c r="I81"/>
  <c r="I240"/>
  <c r="I177"/>
  <c r="I167"/>
  <c r="I150"/>
  <c r="I138"/>
  <c r="I166"/>
  <c r="I98"/>
  <c r="I83"/>
  <c r="I235"/>
  <c r="I131"/>
  <c r="I93"/>
  <c r="I136"/>
  <c r="I52"/>
  <c r="I85"/>
  <c r="I134"/>
  <c r="I104"/>
  <c r="I127"/>
  <c r="I111"/>
  <c r="I65"/>
  <c r="I218"/>
  <c r="I222"/>
  <c r="I55"/>
  <c r="I99"/>
  <c r="M152" i="9"/>
  <c r="I92" i="12"/>
  <c r="I182"/>
  <c r="I165"/>
  <c r="I100"/>
  <c r="M86" i="9"/>
  <c r="I129" i="12"/>
  <c r="I145"/>
  <c r="I225"/>
  <c r="I217"/>
  <c r="I184"/>
  <c r="I128"/>
  <c r="I213"/>
  <c r="I204"/>
  <c r="I188"/>
  <c r="M141" i="9"/>
  <c r="I231" i="12"/>
  <c r="I229"/>
  <c r="I59"/>
  <c r="I202"/>
  <c r="I172"/>
  <c r="I57"/>
  <c r="I107"/>
  <c r="I206"/>
  <c r="I243"/>
  <c r="I195"/>
  <c r="I228"/>
  <c r="I215"/>
  <c r="I76"/>
  <c r="I63"/>
  <c r="I237"/>
  <c r="I62"/>
  <c r="M100" i="9"/>
  <c r="M99" s="1"/>
  <c r="I148" i="12"/>
  <c r="I110"/>
  <c r="I191"/>
  <c r="I116"/>
  <c r="M124" i="9"/>
  <c r="M123" s="1"/>
  <c r="I160" i="12"/>
  <c r="I106"/>
  <c r="I169"/>
  <c r="M157" i="9"/>
  <c r="I74" i="12"/>
  <c r="I67"/>
  <c r="I153"/>
  <c r="M176" i="9"/>
  <c r="I60" i="12"/>
  <c r="I105"/>
  <c r="I238"/>
  <c r="I174"/>
  <c r="I118"/>
  <c r="I221"/>
  <c r="I94"/>
  <c r="I183"/>
  <c r="I220"/>
  <c r="I124"/>
  <c r="I152"/>
  <c r="I139"/>
  <c r="I178"/>
  <c r="I232"/>
  <c r="I58"/>
  <c r="I71"/>
  <c r="I72"/>
  <c r="I102"/>
  <c r="I171"/>
  <c r="I205"/>
  <c r="M98" i="9"/>
  <c r="M97" s="1"/>
  <c r="I77" i="12"/>
  <c r="I96"/>
  <c r="I227"/>
  <c r="I126"/>
  <c r="M203" i="9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83"/>
  <c r="F206"/>
  <c r="E235"/>
  <c r="E159"/>
  <c r="S106"/>
  <c r="S105"/>
  <c r="F128"/>
  <c r="E199"/>
  <c r="S137"/>
  <c r="F205"/>
  <c r="S173"/>
  <c r="S155"/>
  <c r="F94"/>
  <c r="E154"/>
  <c r="F137"/>
  <c r="S118"/>
  <c r="F199"/>
  <c r="F216"/>
  <c r="S130"/>
  <c r="F130"/>
  <c r="F155"/>
  <c r="E128"/>
  <c r="S147"/>
  <c r="S179"/>
  <c r="S237"/>
  <c r="F136"/>
  <c r="E203"/>
  <c r="F93"/>
  <c r="F143"/>
  <c r="F182"/>
  <c r="E104"/>
  <c r="F127"/>
  <c r="E213"/>
  <c r="F145"/>
  <c r="S117"/>
  <c r="S95"/>
  <c r="S184"/>
  <c r="F184" s="1"/>
  <c r="F106"/>
  <c r="F159"/>
  <c r="E145"/>
  <c r="F203"/>
  <c r="E115"/>
  <c r="E106"/>
  <c r="F220"/>
  <c r="S224"/>
  <c r="E224" s="1"/>
  <c r="E94"/>
  <c r="F224"/>
  <c r="F104"/>
  <c r="F179"/>
  <c r="E205"/>
  <c r="F215"/>
  <c r="E172"/>
  <c r="S89"/>
  <c r="F146"/>
  <c r="E127"/>
  <c r="E153"/>
  <c r="F178"/>
  <c r="S129"/>
  <c r="E129" s="1"/>
  <c r="S148"/>
  <c r="F209"/>
  <c r="S236"/>
  <c r="S160"/>
  <c r="F147"/>
  <c r="F105"/>
  <c r="E216"/>
  <c r="F115"/>
  <c r="E220"/>
  <c r="F177"/>
  <c r="F135"/>
  <c r="F125"/>
  <c r="E111"/>
  <c r="E147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79"/>
  <c r="E236"/>
  <c r="F236"/>
  <c r="S150"/>
  <c r="E130"/>
  <c r="E173"/>
  <c r="S223"/>
  <c r="S225"/>
  <c r="S226"/>
  <c r="E117"/>
  <c r="F95"/>
  <c r="S119"/>
  <c r="E226"/>
  <c r="E237"/>
  <c r="E184"/>
  <c r="S108"/>
  <c r="F108"/>
  <c r="E118"/>
  <c r="F150"/>
  <c r="S107"/>
  <c r="S120"/>
  <c r="E120" s="1"/>
  <c r="S138"/>
  <c r="F89"/>
  <c r="S229"/>
  <c r="E225"/>
  <c r="F173"/>
  <c r="E119"/>
  <c r="E95"/>
  <c r="E155"/>
  <c r="S96"/>
  <c r="E96" s="1"/>
  <c r="S231"/>
  <c r="E231" s="1"/>
  <c r="F231"/>
  <c r="F117"/>
  <c r="S228"/>
  <c r="S227"/>
  <c r="S90"/>
  <c r="F90" s="1"/>
  <c r="F96"/>
  <c r="F225"/>
  <c r="S149"/>
  <c r="S230"/>
  <c r="F160"/>
  <c r="S132"/>
  <c r="F132" s="1"/>
  <c r="S131"/>
  <c r="F223"/>
  <c r="F148"/>
  <c r="F118"/>
  <c r="F237"/>
  <c r="E148"/>
  <c r="S156"/>
  <c r="F129"/>
  <c r="E105"/>
  <c r="S161"/>
  <c r="S180"/>
  <c r="F180" s="1"/>
  <c r="E137"/>
  <c r="F161"/>
  <c r="S174"/>
  <c r="S185"/>
  <c r="E185" s="1"/>
  <c r="E89"/>
  <c r="E160"/>
  <c r="F174"/>
  <c r="E132"/>
  <c r="E90"/>
  <c r="F228"/>
  <c r="E228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E107"/>
  <c r="F185"/>
  <c r="S207"/>
  <c r="S198"/>
  <c r="F156"/>
  <c r="S232"/>
  <c r="F226"/>
  <c r="S200"/>
  <c r="S217"/>
  <c r="E217"/>
  <c r="F229"/>
  <c r="F107"/>
  <c r="F227"/>
  <c r="F138"/>
  <c r="S202"/>
  <c r="S221"/>
  <c r="S214"/>
  <c r="E131"/>
  <c r="E156"/>
  <c r="E227"/>
  <c r="S186"/>
  <c r="F200"/>
  <c r="F149"/>
  <c r="S208"/>
  <c r="F208" s="1"/>
  <c r="E229"/>
  <c r="S204"/>
  <c r="F120"/>
  <c r="E161"/>
  <c r="E108"/>
  <c r="E204"/>
  <c r="E138"/>
  <c r="S218"/>
  <c r="E230"/>
  <c r="E200"/>
  <c r="E174"/>
  <c r="E223"/>
  <c r="E207"/>
  <c r="E180"/>
  <c r="F230"/>
  <c r="S212"/>
  <c r="F212" s="1"/>
  <c r="E149"/>
  <c r="F119"/>
  <c r="F131"/>
  <c r="E150"/>
  <c r="S222"/>
  <c r="S162"/>
  <c r="S211"/>
  <c r="E221"/>
  <c r="F214"/>
  <c r="F218"/>
  <c r="F162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86"/>
  <c r="F232"/>
  <c r="E198"/>
  <c r="F186"/>
  <c r="F217"/>
  <c r="F198"/>
  <c r="F222"/>
  <c r="F204"/>
  <c r="E202"/>
  <c r="F211"/>
  <c r="S187"/>
  <c r="F187" s="1"/>
  <c r="F207"/>
  <c r="E212"/>
  <c r="E232"/>
  <c r="E162"/>
  <c r="S233"/>
  <c r="E208"/>
  <c r="E218"/>
  <c r="F221"/>
  <c r="E233"/>
  <c r="E222"/>
  <c r="F202"/>
  <c r="S163"/>
  <c r="E211"/>
  <c r="E214"/>
  <c r="F233"/>
  <c r="E163"/>
  <c r="M187" l="1"/>
  <c r="M163"/>
  <c r="M233"/>
  <c r="Q164"/>
  <c r="Q188"/>
  <c r="S188"/>
  <c r="E187"/>
  <c r="S164"/>
  <c r="F163"/>
  <c r="Q238" l="1"/>
  <c r="M188"/>
  <c r="M164"/>
  <c r="Q165"/>
  <c r="Q189"/>
  <c r="F164"/>
  <c r="F188"/>
  <c r="S189"/>
  <c r="F189" s="1"/>
  <c r="S238"/>
  <c r="E188"/>
  <c r="S165"/>
  <c r="E164"/>
  <c r="E165"/>
  <c r="F165"/>
  <c r="M165" l="1"/>
  <c r="M189"/>
  <c r="Q166"/>
  <c r="Q190"/>
  <c r="E189"/>
  <c r="F238"/>
  <c r="S166"/>
  <c r="E238"/>
  <c r="S190"/>
  <c r="E166"/>
  <c r="M166" l="1"/>
  <c r="M190"/>
  <c r="Q167"/>
  <c r="Q191"/>
  <c r="F190"/>
  <c r="E190"/>
  <c r="S191"/>
  <c r="S167"/>
  <c r="F166"/>
  <c r="M167" l="1"/>
  <c r="M191"/>
  <c r="Q168"/>
  <c r="Q192"/>
  <c r="F191"/>
  <c r="F167"/>
  <c r="S168"/>
  <c r="S192"/>
  <c r="E192"/>
  <c r="E168"/>
  <c r="F192"/>
  <c r="E167"/>
  <c r="E191"/>
  <c r="M168" l="1"/>
  <c r="Q193"/>
  <c r="M192"/>
  <c r="S193"/>
  <c r="F168"/>
  <c r="E193"/>
  <c r="M193" l="1"/>
  <c r="Q194"/>
  <c r="S194"/>
  <c r="F193"/>
  <c r="Q195" l="1"/>
  <c r="M194"/>
  <c r="E194"/>
  <c r="F194"/>
  <c r="S195"/>
  <c r="Q196" l="1"/>
  <c r="M195"/>
  <c r="S196"/>
  <c r="E196"/>
  <c r="F195"/>
  <c r="E195"/>
  <c r="M196" l="1"/>
  <c r="F196"/>
</calcChain>
</file>

<file path=xl/sharedStrings.xml><?xml version="1.0" encoding="utf-8"?>
<sst xmlns="http://schemas.openxmlformats.org/spreadsheetml/2006/main" count="6252" uniqueCount="910">
  <si>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</si>
  <si>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</si>
  <si>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</si>
  <si>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</si>
  <si>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</si>
  <si>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</si>
  <si>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</si>
  <si>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</si>
  <si>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</si>
  <si>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</si>
  <si>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</si>
  <si>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</si>
  <si>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</si>
  <si>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</si>
  <si>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</si>
  <si>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</si>
  <si>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</si>
  <si>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</si>
  <si>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</si>
  <si>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</si>
  <si>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</si>
  <si>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</si>
  <si>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</si>
  <si>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</si>
  <si>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</si>
  <si>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</si>
  <si>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</si>
  <si>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</si>
  <si>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</si>
  <si>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</si>
  <si>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</si>
  <si>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</si>
  <si>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</si>
  <si>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</si>
  <si>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</si>
  <si>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</si>
  <si>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</si>
  <si>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</si>
  <si>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</si>
  <si>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</si>
  <si>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</si>
  <si>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</si>
  <si>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</si>
  <si>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</si>
  <si>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</si>
  <si>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</si>
  <si>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</si>
  <si>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</si>
  <si>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</si>
  <si>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</si>
  <si>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</si>
  <si>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</si>
  <si>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</si>
  <si>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</si>
  <si>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</si>
  <si>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</si>
  <si>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</si>
  <si>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</si>
  <si>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</si>
  <si>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</si>
  <si>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</si>
  <si>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</si>
  <si>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</si>
  <si>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</si>
  <si>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</si>
  <si>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</si>
  <si>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</si>
  <si>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</si>
  <si>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</si>
  <si>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</si>
  <si>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</si>
  <si>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</si>
  <si>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</si>
  <si>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</si>
  <si>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</si>
  <si>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</si>
  <si>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</si>
  <si>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</si>
  <si>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</si>
  <si>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</si>
  <si>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</si>
  <si>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</si>
  <si>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</si>
  <si>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</si>
  <si>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</si>
  <si>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</si>
  <si>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</si>
  <si>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</si>
  <si>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</si>
  <si>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</si>
  <si>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</si>
  <si>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</si>
  <si>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</si>
  <si>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</si>
  <si>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</si>
  <si>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</si>
  <si>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</si>
  <si>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</si>
  <si>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</si>
  <si>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</si>
  <si>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</si>
  <si>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</si>
  <si>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</si>
  <si>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</si>
  <si>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</si>
  <si>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</si>
  <si>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</si>
  <si>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</si>
  <si>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</si>
  <si>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</si>
  <si>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</si>
  <si>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</si>
  <si>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</si>
  <si>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</si>
  <si>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</si>
  <si>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</si>
  <si>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</si>
  <si>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</si>
  <si>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</si>
  <si>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</si>
  <si>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</si>
  <si>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</si>
  <si>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</si>
  <si>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</si>
  <si>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</si>
  <si>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</si>
  <si>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</si>
  <si>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</si>
  <si>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</si>
  <si>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</si>
  <si>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</si>
  <si>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</si>
  <si>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</si>
  <si>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</si>
  <si>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</si>
  <si>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</si>
  <si>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</si>
  <si>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</si>
  <si>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</si>
  <si>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</si>
  <si>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</si>
  <si>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</si>
  <si>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</si>
  <si>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</si>
  <si>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</si>
  <si>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</si>
  <si>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</si>
  <si>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</si>
  <si>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</si>
  <si>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</si>
  <si>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</si>
  <si>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</si>
  <si>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</si>
  <si>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</si>
  <si>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cost</t>
  </si>
  <si>
    <t>RARE</t>
  </si>
  <si>
    <t>EPIC</t>
  </si>
  <si>
    <t>DPS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</si>
  <si>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</si>
  <si>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</si>
  <si>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</si>
  <si>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</si>
  <si>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</si>
  <si>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</si>
  <si>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</si>
  <si>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</si>
  <si>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</si>
  <si>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</si>
  <si>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</si>
  <si>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</si>
  <si>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</si>
  <si>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</si>
  <si>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</si>
  <si>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</si>
  <si>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</si>
  <si>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</si>
  <si>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</si>
  <si>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</si>
  <si>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</si>
  <si>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</si>
  <si>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</si>
  <si>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</si>
  <si>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</si>
  <si>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</si>
  <si>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</si>
  <si>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</si>
  <si>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</si>
  <si>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</si>
  <si>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</si>
  <si>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</si>
  <si>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</si>
  <si>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</si>
  <si>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</si>
  <si>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</si>
  <si>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</si>
  <si>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</si>
  <si>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</si>
  <si>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</si>
  <si>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</si>
  <si>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</si>
  <si>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</si>
  <si>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</si>
  <si>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</si>
  <si>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</si>
  <si>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</si>
  <si>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</si>
  <si>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</si>
  <si>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</si>
  <si>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</si>
  <si>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</si>
  <si>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</si>
  <si>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</si>
  <si>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</si>
  <si>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</si>
  <si>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</si>
  <si>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</si>
  <si>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</si>
  <si>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</si>
  <si>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</si>
  <si>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</si>
  <si>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</si>
  <si>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</si>
  <si>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</si>
  <si>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</si>
  <si>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</si>
  <si>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</si>
  <si>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</si>
  <si>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</si>
  <si>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</si>
  <si>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</si>
  <si>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</si>
  <si>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</si>
  <si>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</si>
  <si>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</si>
  <si>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</si>
  <si>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</si>
  <si>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</si>
  <si>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</si>
  <si>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</si>
  <si>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</si>
  <si>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</si>
  <si>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</si>
  <si>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</si>
  <si>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</si>
  <si>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</si>
  <si>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</si>
  <si>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</si>
  <si>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</si>
  <si>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</si>
  <si>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</si>
  <si>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</si>
  <si>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</si>
  <si>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</si>
  <si>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</si>
  <si>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</si>
  <si>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</si>
  <si>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</si>
  <si>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</si>
  <si>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</si>
  <si>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</si>
  <si>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</si>
  <si>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</si>
  <si>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</si>
  <si>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</si>
  <si>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</si>
  <si>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</si>
  <si>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</si>
  <si>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</si>
  <si>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</si>
  <si>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</si>
  <si>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</si>
  <si>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</si>
  <si>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</si>
  <si>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</si>
  <si>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</si>
  <si>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</si>
  <si>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</si>
  <si>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</si>
  <si>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</si>
  <si>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</si>
  <si>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</si>
  <si>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</si>
  <si>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</si>
  <si>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</si>
  <si>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</si>
  <si>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</si>
  <si>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</si>
  <si>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</si>
  <si>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</si>
  <si>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</si>
  <si>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</si>
  <si>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</si>
  <si>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</si>
  <si>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</si>
  <si>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</si>
  <si>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</si>
  <si>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</si>
  <si>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</si>
  <si>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</si>
  <si>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</si>
  <si>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</si>
  <si>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</si>
  <si>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</si>
  <si>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</si>
  <si>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</si>
  <si>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</si>
  <si>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</si>
  <si>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</si>
  <si>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</si>
  <si>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</si>
  <si>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</si>
  <si>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</si>
  <si>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</si>
  <si>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</si>
  <si>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</si>
  <si>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</si>
  <si>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</si>
  <si>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</si>
  <si>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</si>
  <si>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</si>
  <si>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</si>
  <si>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</si>
  <si>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</si>
  <si>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</si>
  <si>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</si>
  <si>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</si>
  <si>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</si>
  <si>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</si>
  <si>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</si>
  <si>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</si>
  <si>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</si>
  <si>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</si>
  <si>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</si>
  <si>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</si>
  <si>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</si>
  <si>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</si>
  <si>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</si>
  <si>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</si>
  <si>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</si>
  <si>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</si>
  <si>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</si>
  <si>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</si>
  <si>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</si>
  <si>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</si>
  <si>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</si>
  <si>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</si>
  <si>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</si>
  <si>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</si>
  <si>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</si>
  <si>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</si>
  <si>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</si>
  <si>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</si>
  <si>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</si>
  <si>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</si>
  <si>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</si>
  <si>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</si>
  <si>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</si>
  <si>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</si>
  <si>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</si>
  <si>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</si>
  <si>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</si>
  <si>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</si>
  <si>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</si>
  <si>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</si>
  <si>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</si>
  <si>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</si>
  <si>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</si>
  <si>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</si>
  <si>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</si>
  <si>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</si>
  <si>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</si>
  <si>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</si>
  <si>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</si>
  <si>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</si>
  <si>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</si>
  <si>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</si>
  <si>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</si>
  <si>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</si>
  <si>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</si>
  <si>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</si>
  <si>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</si>
  <si>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</si>
  <si>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</si>
  <si>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</si>
  <si>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</si>
  <si>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</si>
  <si>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</si>
  <si>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</si>
  <si>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</si>
  <si>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</si>
  <si>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</si>
  <si>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</si>
  <si>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</si>
  <si>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</si>
  <si>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</si>
  <si>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</si>
  <si>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</si>
  <si>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</si>
  <si>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</si>
  <si>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</si>
  <si>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</si>
  <si>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</si>
  <si>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</si>
  <si>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</si>
  <si>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</si>
  <si>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</si>
  <si>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</si>
  <si>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</si>
  <si>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</si>
  <si>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</si>
  <si>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</si>
  <si>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</si>
  <si>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</si>
  <si>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</si>
  <si>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</si>
  <si>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</si>
  <si>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</si>
  <si>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</si>
  <si>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</si>
  <si>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</si>
  <si>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</si>
  <si>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</si>
  <si>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</si>
  <si>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</si>
  <si>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</si>
  <si>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</si>
  <si>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</si>
  <si>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</si>
  <si>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</si>
  <si>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</si>
  <si>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</si>
  <si>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</si>
  <si>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</si>
  <si>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</si>
  <si>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</si>
  <si>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</si>
  <si>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</si>
  <si>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</si>
  <si>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</si>
  <si>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</si>
  <si>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</si>
  <si>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</si>
  <si>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</si>
  <si>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</si>
  <si>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</si>
  <si>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</si>
  <si>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</si>
  <si>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</si>
  <si>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</si>
  <si>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0,0.5,0,0,0,0,0,0,0.5</t>
  </si>
  <si>
    <t>0,0.7,0,0,0,0,0,0.3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</si>
  <si>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</si>
  <si>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</si>
  <si>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</si>
  <si>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</si>
  <si>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</si>
  <si>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</si>
  <si>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</si>
  <si>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</si>
  <si>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</si>
  <si>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</si>
  <si>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</si>
  <si>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</si>
  <si>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</si>
  <si>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</si>
  <si>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</si>
  <si>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</si>
  <si>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</si>
  <si>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</si>
  <si>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</si>
  <si>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</si>
  <si>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</si>
  <si>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</si>
  <si>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</si>
  <si>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</si>
  <si>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</si>
  <si>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</si>
  <si>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</si>
  <si>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</si>
  <si>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</si>
  <si>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</si>
  <si>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</si>
  <si>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</si>
  <si>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</si>
  <si>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</si>
  <si>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</si>
  <si>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</si>
  <si>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</si>
  <si>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</si>
  <si>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</si>
  <si>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</si>
  <si>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</si>
  <si>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</si>
  <si>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</si>
  <si>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</si>
  <si>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</si>
  <si>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</si>
  <si>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</si>
  <si>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</si>
  <si>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</si>
  <si>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</si>
  <si>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</si>
  <si>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</si>
  <si>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</si>
  <si>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</si>
  <si>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</si>
  <si>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</si>
  <si>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</si>
  <si>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</si>
  <si>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</si>
  <si>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</si>
  <si>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</si>
  <si>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</si>
  <si>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</si>
  <si>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</si>
  <si>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</si>
  <si>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</si>
  <si>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</si>
  <si>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</si>
  <si>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</si>
  <si>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</si>
  <si>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</si>
  <si>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</si>
  <si>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</si>
  <si>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</si>
  <si>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</si>
  <si>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</si>
  <si>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</si>
  <si>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</si>
  <si>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</si>
  <si>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</si>
  <si>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</si>
  <si>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</si>
  <si>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</si>
  <si>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</si>
  <si>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</si>
  <si>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</si>
  <si>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</si>
  <si>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</si>
  <si>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</si>
  <si>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</si>
  <si>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</si>
  <si>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</si>
  <si>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</si>
  <si>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</si>
  <si>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</si>
  <si>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</si>
  <si>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</si>
  <si>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</si>
  <si>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</si>
  <si>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</si>
  <si>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</si>
  <si>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</si>
  <si>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</si>
  <si>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</si>
  <si>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</si>
  <si>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</si>
  <si>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</si>
  <si>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</si>
  <si>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</si>
  <si>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</si>
  <si>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</si>
  <si>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</si>
  <si>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</si>
  <si>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</si>
  <si>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</si>
  <si>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</si>
  <si>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</si>
  <si>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</si>
  <si>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</si>
  <si>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</si>
  <si>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</si>
  <si>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</si>
  <si>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</si>
  <si>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</si>
  <si>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</si>
  <si>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</si>
  <si>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</si>
  <si>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</si>
  <si>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</si>
  <si>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</si>
  <si>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</si>
  <si>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</si>
  <si>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</si>
  <si>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</si>
  <si>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</si>
  <si>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</si>
  <si>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</si>
  <si>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</si>
  <si>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</si>
  <si>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</si>
  <si>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</si>
  <si>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</si>
  <si>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</si>
  <si>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</si>
  <si>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</si>
  <si>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</si>
  <si>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</si>
  <si>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</si>
  <si>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</si>
  <si>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</si>
  <si>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</si>
  <si>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</si>
  <si>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</si>
  <si>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</si>
  <si>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</si>
  <si>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</si>
  <si>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</si>
  <si>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</si>
  <si>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</si>
  <si>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</si>
  <si>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</si>
  <si>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</si>
  <si>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</si>
  <si>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</si>
  <si>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</si>
  <si>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</si>
  <si>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</si>
  <si>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</si>
  <si>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</si>
  <si>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0.3</t>
  </si>
  <si>
    <t>Skull</t>
  </si>
  <si>
    <t>Scarab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</si>
  <si>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</si>
  <si>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</si>
  <si>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</si>
  <si>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</si>
  <si>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</si>
  <si>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</si>
  <si>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</si>
  <si>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</si>
  <si>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</si>
  <si>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</si>
  <si>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</si>
  <si>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</si>
  <si>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</si>
  <si>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</si>
  <si>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</si>
  <si>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</si>
  <si>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</si>
  <si>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</si>
  <si>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</si>
  <si>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</si>
  <si>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</si>
  <si>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</si>
  <si>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</si>
  <si>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</si>
  <si>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</si>
  <si>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</si>
  <si>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</si>
  <si>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</si>
  <si>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</si>
  <si>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</si>
  <si>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</si>
  <si>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</si>
  <si>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</si>
  <si>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</si>
  <si>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</si>
  <si>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</si>
  <si>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</si>
  <si>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</si>
  <si>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</si>
  <si>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</si>
  <si>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</si>
  <si>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</si>
  <si>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</si>
  <si>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</si>
  <si>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</si>
  <si>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</si>
  <si>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</si>
  <si>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</si>
  <si>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</si>
  <si>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</si>
  <si>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</si>
  <si>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</si>
  <si>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</si>
  <si>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</si>
  <si>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</si>
  <si>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</si>
  <si>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</si>
  <si>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</si>
  <si>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</si>
  <si>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</si>
  <si>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</si>
  <si>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</si>
  <si>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</si>
  <si>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</si>
  <si>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</si>
  <si>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</si>
  <si>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</si>
  <si>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</si>
  <si>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</si>
  <si>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</si>
  <si>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</si>
  <si>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</si>
  <si>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</si>
  <si>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</si>
  <si>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</si>
  <si>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</si>
  <si>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</si>
  <si>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</si>
  <si>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</si>
  <si>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</si>
  <si>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</si>
  <si>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</si>
  <si>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</si>
  <si>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</si>
  <si>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</si>
  <si>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</si>
  <si>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</si>
  <si>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</si>
  <si>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</si>
  <si>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</si>
  <si>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</si>
  <si>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</si>
  <si>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</si>
  <si>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</si>
  <si>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</si>
  <si>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</si>
  <si>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</si>
  <si>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</si>
  <si>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</si>
  <si>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</si>
  <si>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</si>
  <si>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</si>
  <si>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</si>
  <si>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</si>
  <si>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</si>
  <si>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</si>
  <si>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</si>
  <si>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</si>
  <si>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</si>
  <si>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</si>
  <si>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</si>
  <si>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</si>
  <si>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</si>
  <si>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</si>
  <si>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</si>
  <si>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</si>
  <si>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</si>
  <si>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</si>
  <si>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</si>
  <si>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</si>
  <si>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</si>
  <si>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</si>
  <si>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</si>
  <si>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</si>
  <si>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1,6</t>
  </si>
  <si>
    <t>ARROW_1</t>
  </si>
  <si>
    <t>ARROW_2</t>
  </si>
  <si>
    <t>ARROW_3</t>
  </si>
  <si>
    <t>ARROW_4</t>
  </si>
  <si>
    <t>ARROW_5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</si>
  <si>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</si>
  <si>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</si>
  <si>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</si>
  <si>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</si>
  <si>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</si>
  <si>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</si>
  <si>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</si>
  <si>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</si>
  <si>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</si>
  <si>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</si>
  <si>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</si>
  <si>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</si>
  <si>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</si>
  <si>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</si>
  <si>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</si>
  <si>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</si>
  <si>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</si>
  <si>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</si>
  <si>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</si>
  <si>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</si>
  <si>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</si>
  <si>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</si>
  <si>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</si>
  <si>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</si>
  <si>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</si>
  <si>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</si>
  <si>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</si>
  <si>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</si>
  <si>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</si>
  <si>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</si>
  <si>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</si>
  <si>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</si>
  <si>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</si>
  <si>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</si>
  <si>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</si>
  <si>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</si>
  <si>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</si>
  <si>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</si>
  <si>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</si>
  <si>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</si>
  <si>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</si>
  <si>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</si>
  <si>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</si>
  <si>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</si>
  <si>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</si>
  <si>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</si>
  <si>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</si>
  <si>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</si>
  <si>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</si>
  <si>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</si>
  <si>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</si>
  <si>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</si>
  <si>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</si>
  <si>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</si>
  <si>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</si>
  <si>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</si>
  <si>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</si>
  <si>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</si>
  <si>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</si>
  <si>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</si>
  <si>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</si>
  <si>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</si>
  <si>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</si>
  <si>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</si>
  <si>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</si>
  <si>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</si>
  <si>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</si>
  <si>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</si>
  <si>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</si>
  <si>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</si>
  <si>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</si>
  <si>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</si>
  <si>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</si>
  <si>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</si>
  <si>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</si>
  <si>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name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</si>
  <si>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</si>
  <si>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</si>
  <si>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</si>
  <si>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</si>
  <si>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</si>
  <si>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</si>
  <si>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</si>
  <si>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</si>
  <si>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</si>
  <si>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</si>
  <si>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</si>
  <si>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</si>
  <si>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</si>
  <si>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</si>
  <si>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</si>
  <si>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</si>
  <si>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id</t>
  </si>
  <si>
    <t>sword</t>
  </si>
  <si>
    <t>axe</t>
  </si>
  <si>
    <t>Rusty Sword</t>
  </si>
  <si>
    <t>Rapier</t>
  </si>
  <si>
    <t>string</t>
  </si>
  <si>
    <t>int</t>
  </si>
  <si>
    <t>float</t>
  </si>
  <si>
    <t>dmgMax</t>
  </si>
  <si>
    <t>dmgMin</t>
  </si>
  <si>
    <t>sprite</t>
  </si>
  <si>
    <t>DamageModifier</t>
  </si>
  <si>
    <t>0,1,0,0,0,0,0,0,0</t>
  </si>
  <si>
    <t>Weapon.Type</t>
  </si>
  <si>
    <t>1,0,0,0,0,0,0,0,0</t>
  </si>
  <si>
    <t>DAGGER</t>
  </si>
  <si>
    <t>SWORD1H</t>
  </si>
  <si>
    <t>SWORD2H</t>
  </si>
  <si>
    <t>CHAKRAM</t>
  </si>
  <si>
    <t>GLOVES</t>
  </si>
  <si>
    <t>FLAIL</t>
  </si>
  <si>
    <t>MACE</t>
  </si>
  <si>
    <t>Redeemer</t>
  </si>
  <si>
    <t>Avenger</t>
  </si>
  <si>
    <t>Bloodbath</t>
  </si>
  <si>
    <t>Eagle</t>
  </si>
  <si>
    <t>Coward</t>
  </si>
  <si>
    <t>Xena</t>
  </si>
  <si>
    <t>Claws</t>
  </si>
  <si>
    <t>Sorrow</t>
  </si>
  <si>
    <t>Bear</t>
  </si>
  <si>
    <t>Nation</t>
  </si>
  <si>
    <t>Unit.Nation</t>
  </si>
  <si>
    <t>ELLADA</t>
  </si>
  <si>
    <t>damager</t>
  </si>
  <si>
    <t>DamageDealer</t>
  </si>
  <si>
    <t>ARC_30</t>
  </si>
  <si>
    <t>STR</t>
  </si>
  <si>
    <t>DEX</t>
  </si>
  <si>
    <t>INT</t>
  </si>
  <si>
    <t>VIT</t>
  </si>
  <si>
    <t>DEF</t>
  </si>
  <si>
    <t>HP</t>
  </si>
  <si>
    <t>SP</t>
  </si>
  <si>
    <t>Item.Type</t>
  </si>
  <si>
    <t>WEAPON</t>
  </si>
  <si>
    <t>critMod</t>
  </si>
  <si>
    <t xml:space="preserve"> +-</t>
  </si>
  <si>
    <t># Weapons</t>
  </si>
  <si>
    <t># Characters</t>
  </si>
  <si>
    <t>Barbarian</t>
  </si>
  <si>
    <t>aspd</t>
  </si>
  <si>
    <t>DEFAULT_WEAPON</t>
  </si>
  <si>
    <t>0,0,1,0,0,0,0,0,0</t>
  </si>
  <si>
    <t>NONE</t>
  </si>
  <si>
    <t>radius</t>
  </si>
  <si>
    <t>ARMOR</t>
  </si>
  <si>
    <t>Hood</t>
  </si>
  <si>
    <t>skin</t>
  </si>
  <si>
    <t>height</t>
  </si>
  <si>
    <t>speed</t>
  </si>
  <si>
    <t>Plate</t>
  </si>
  <si>
    <t>slots</t>
  </si>
  <si>
    <t>Item.Slot[]</t>
  </si>
  <si>
    <t>WEAPON, SHIELD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</si>
</sst>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"/>
      <family val="2"/>
      <charset val="204"/>
    </font>
    <font>
      <sz val="11"/>
      <color theme="1"/>
      <name val="Times New Roman"/>
      <family val="1"/>
      <charset val="204"/>
    </font>
    <font>
      <sz val="11"/>
      <color theme="1"/>
      <name val="Angsana New"/>
      <family val="1"/>
    </font>
    <font>
      <sz val="11"/>
      <color theme="1"/>
      <name val="Verdana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8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0" fillId="0" borderId="2" xfId="0" applyBorder="1"/>
    <xf numFmtId="0" fontId="12" fillId="0" borderId="0" xfId="0" applyFont="1" applyFill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9" xfId="0" applyBorder="1" applyAlignment="1">
      <alignment horizontal="center"/>
    </xf>
    <xf numFmtId="0" fontId="13" fillId="0" borderId="0" xfId="0" applyFont="1" applyBorder="1"/>
    <xf numFmtId="0" fontId="13" fillId="0" borderId="0" xfId="0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4" fontId="14" fillId="0" borderId="0" xfId="0" applyNumberFormat="1" applyFont="1"/>
    <xf numFmtId="4" fontId="15" fillId="0" borderId="0" xfId="0" applyNumberFormat="1" applyFont="1"/>
    <xf numFmtId="4" fontId="16" fillId="0" borderId="0" xfId="0" applyNumberFormat="1" applyFont="1"/>
    <xf numFmtId="4" fontId="17" fillId="0" borderId="0" xfId="0" applyNumberFormat="1" applyFont="1"/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6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2:F166"/>
  <sheetViews>
    <sheetView workbookViewId="0">
      <selection activeCell="B47" sqref="B47"/>
    </sheetView>
  </sheetViews>
  <sheetFormatPr defaultRowHeight="15"/>
  <cols>
    <col min="1" max="1" width="12.42578125" customWidth="1"/>
    <col min="2" max="2" width="22.5703125" style="1" customWidth="1"/>
    <col min="3" max="3" width="3.28515625" customWidth="1"/>
    <col min="4" max="4" width="17" customWidth="1"/>
    <col min="5" max="5" width="10" style="1" customWidth="1"/>
    <col min="6" max="6" width="13.7109375" customWidth="1"/>
  </cols>
  <sheetData>
    <row r="2" spans="1:6">
      <c r="A2" s="29" t="s">
        <v>845</v>
      </c>
      <c r="B2" s="14" t="s">
        <v>87</v>
      </c>
      <c r="C2" s="71" t="s">
        <v>855</v>
      </c>
      <c r="D2" s="15" t="s">
        <v>61</v>
      </c>
      <c r="E2" s="14" t="s">
        <v>58</v>
      </c>
      <c r="F2" s="14" t="s">
        <v>879</v>
      </c>
    </row>
    <row r="3" spans="1:6">
      <c r="A3" s="69" t="s">
        <v>850</v>
      </c>
      <c r="B3" s="70" t="s">
        <v>858</v>
      </c>
      <c r="C3" s="70" t="s">
        <v>851</v>
      </c>
      <c r="D3" s="70" t="s">
        <v>856</v>
      </c>
      <c r="E3" s="70" t="s">
        <v>852</v>
      </c>
      <c r="F3" s="72" t="s">
        <v>880</v>
      </c>
    </row>
    <row r="4" spans="1:6">
      <c r="A4" s="77" t="s">
        <v>897</v>
      </c>
      <c r="B4" s="78" t="s">
        <v>864</v>
      </c>
      <c r="C4" s="70">
        <v>-1</v>
      </c>
      <c r="D4" s="18" t="s">
        <v>898</v>
      </c>
      <c r="E4" s="79">
        <v>5</v>
      </c>
      <c r="F4" s="18" t="s">
        <v>881</v>
      </c>
    </row>
    <row r="5" spans="1:6">
      <c r="A5" s="75" t="s">
        <v>867</v>
      </c>
      <c r="B5" s="31" t="s">
        <v>861</v>
      </c>
      <c r="C5" s="31">
        <v>0</v>
      </c>
      <c r="D5" s="18" t="s">
        <v>857</v>
      </c>
      <c r="E5" s="18">
        <v>5</v>
      </c>
      <c r="F5" s="18" t="s">
        <v>881</v>
      </c>
    </row>
    <row r="6" spans="1:6">
      <c r="A6" s="75" t="s">
        <v>868</v>
      </c>
      <c r="B6" s="1" t="s">
        <v>862</v>
      </c>
      <c r="C6" s="31">
        <v>1</v>
      </c>
      <c r="D6" s="18" t="s">
        <v>857</v>
      </c>
      <c r="E6" s="18">
        <v>6</v>
      </c>
      <c r="F6" s="18" t="s">
        <v>881</v>
      </c>
    </row>
    <row r="7" spans="1:6">
      <c r="A7" s="75" t="s">
        <v>869</v>
      </c>
      <c r="B7" s="31" t="s">
        <v>59</v>
      </c>
      <c r="C7" s="31">
        <v>2</v>
      </c>
      <c r="D7" s="18" t="s">
        <v>857</v>
      </c>
      <c r="E7" s="18">
        <v>5</v>
      </c>
      <c r="F7" s="18" t="s">
        <v>881</v>
      </c>
    </row>
    <row r="8" spans="1:6">
      <c r="A8" s="75" t="s">
        <v>870</v>
      </c>
      <c r="B8" s="31" t="s">
        <v>680</v>
      </c>
      <c r="C8" s="31">
        <v>1</v>
      </c>
      <c r="D8" s="18" t="s">
        <v>857</v>
      </c>
      <c r="E8" s="1">
        <v>50</v>
      </c>
      <c r="F8" s="18" t="s">
        <v>735</v>
      </c>
    </row>
    <row r="9" spans="1:6">
      <c r="A9" s="75" t="s">
        <v>871</v>
      </c>
      <c r="B9" s="31" t="s">
        <v>860</v>
      </c>
      <c r="C9" s="31">
        <v>1</v>
      </c>
      <c r="D9" s="18" t="s">
        <v>857</v>
      </c>
      <c r="E9" s="18">
        <v>5</v>
      </c>
      <c r="F9" s="18" t="s">
        <v>881</v>
      </c>
    </row>
    <row r="10" spans="1:6">
      <c r="A10" s="75" t="s">
        <v>872</v>
      </c>
      <c r="B10" s="31" t="s">
        <v>863</v>
      </c>
      <c r="C10" s="31">
        <v>2</v>
      </c>
      <c r="D10" s="18" t="s">
        <v>857</v>
      </c>
      <c r="E10" s="18">
        <v>25</v>
      </c>
      <c r="F10" s="18" t="s">
        <v>881</v>
      </c>
    </row>
    <row r="11" spans="1:6">
      <c r="A11" s="75" t="s">
        <v>873</v>
      </c>
      <c r="B11" s="31" t="s">
        <v>864</v>
      </c>
      <c r="C11" s="31">
        <v>1</v>
      </c>
      <c r="D11" s="18" t="s">
        <v>857</v>
      </c>
      <c r="E11" s="18">
        <v>25</v>
      </c>
      <c r="F11" s="18" t="s">
        <v>881</v>
      </c>
    </row>
    <row r="12" spans="1:6">
      <c r="A12" s="75" t="s">
        <v>874</v>
      </c>
      <c r="B12" s="31" t="s">
        <v>865</v>
      </c>
      <c r="C12" s="31">
        <v>1</v>
      </c>
      <c r="D12" s="18" t="s">
        <v>859</v>
      </c>
      <c r="E12" s="18">
        <v>5</v>
      </c>
      <c r="F12" s="18" t="s">
        <v>881</v>
      </c>
    </row>
    <row r="13" spans="1:6">
      <c r="A13" s="75" t="s">
        <v>875</v>
      </c>
      <c r="B13" s="31" t="s">
        <v>866</v>
      </c>
      <c r="C13" s="31">
        <v>1</v>
      </c>
      <c r="D13" s="18" t="s">
        <v>857</v>
      </c>
      <c r="E13" s="1">
        <v>5</v>
      </c>
      <c r="F13" s="18" t="s">
        <v>881</v>
      </c>
    </row>
    <row r="14" spans="1:6">
      <c r="A14" s="24"/>
      <c r="B14" s="31"/>
      <c r="C14" s="24"/>
      <c r="D14" s="18"/>
      <c r="E14" s="18"/>
    </row>
    <row r="15" spans="1:6">
      <c r="A15" s="24"/>
      <c r="B15" s="31"/>
      <c r="C15" s="24"/>
      <c r="D15" s="18"/>
      <c r="E15" s="18"/>
    </row>
    <row r="16" spans="1:6">
      <c r="A16" s="24"/>
      <c r="B16" s="31"/>
      <c r="C16" s="24"/>
      <c r="D16" s="18"/>
      <c r="E16" s="18"/>
    </row>
    <row r="17" spans="1:5">
      <c r="A17" s="24"/>
      <c r="B17" s="31"/>
      <c r="C17" s="24"/>
      <c r="D17" s="18"/>
      <c r="E17" s="18"/>
    </row>
    <row r="18" spans="1:5">
      <c r="A18" s="24"/>
      <c r="B18" s="31"/>
      <c r="C18" s="24"/>
      <c r="D18" s="18"/>
      <c r="E18" s="18"/>
    </row>
    <row r="19" spans="1:5">
      <c r="A19" s="24"/>
      <c r="B19" s="31"/>
      <c r="C19" s="24"/>
      <c r="D19" s="18"/>
      <c r="E19" s="18"/>
    </row>
    <row r="20" spans="1:5">
      <c r="A20" s="24"/>
      <c r="B20" s="31"/>
      <c r="C20" s="24"/>
      <c r="D20" s="18"/>
      <c r="E20" s="18"/>
    </row>
    <row r="21" spans="1:5">
      <c r="A21" s="24"/>
      <c r="B21" s="31"/>
      <c r="C21" s="24"/>
      <c r="D21" s="18"/>
      <c r="E21" s="18"/>
    </row>
    <row r="22" spans="1:5">
      <c r="A22" s="24"/>
      <c r="B22" s="31"/>
      <c r="C22" s="24"/>
      <c r="D22" s="18"/>
      <c r="E22" s="18"/>
    </row>
    <row r="23" spans="1:5">
      <c r="A23" s="24"/>
      <c r="B23" s="31"/>
      <c r="C23" s="24"/>
      <c r="D23" s="18"/>
      <c r="E23" s="18"/>
    </row>
    <row r="24" spans="1:5">
      <c r="A24" s="24"/>
      <c r="B24" s="31"/>
      <c r="C24" s="24"/>
      <c r="D24" s="18"/>
      <c r="E24" s="18"/>
    </row>
    <row r="25" spans="1:5">
      <c r="A25" s="24"/>
      <c r="B25" s="31"/>
      <c r="C25" s="24"/>
      <c r="D25" s="18"/>
      <c r="E25" s="18"/>
    </row>
    <row r="26" spans="1:5">
      <c r="A26" s="24"/>
      <c r="B26" s="31"/>
      <c r="C26" s="24"/>
      <c r="D26" s="18"/>
      <c r="E26" s="18"/>
    </row>
    <row r="27" spans="1:5">
      <c r="A27" s="24"/>
      <c r="B27" s="31"/>
      <c r="C27" s="24"/>
      <c r="D27" s="18"/>
      <c r="E27" s="18"/>
    </row>
    <row r="28" spans="1:5">
      <c r="A28" s="24"/>
      <c r="B28" s="31"/>
      <c r="C28" s="24"/>
      <c r="D28" s="18"/>
      <c r="E28" s="18"/>
    </row>
    <row r="29" spans="1:5">
      <c r="A29" s="24"/>
      <c r="B29" s="31"/>
      <c r="C29" s="24"/>
      <c r="D29" s="18"/>
      <c r="E29" s="18"/>
    </row>
    <row r="31" spans="1:5">
      <c r="A31" s="24"/>
      <c r="B31" s="31"/>
      <c r="C31" s="24"/>
      <c r="D31" s="18"/>
      <c r="E31" s="18"/>
    </row>
    <row r="32" spans="1:5">
      <c r="A32" s="24"/>
      <c r="B32" s="31"/>
      <c r="C32" s="24"/>
      <c r="D32" s="18"/>
      <c r="E32" s="18"/>
    </row>
    <row r="33" spans="1:5">
      <c r="A33" s="24"/>
      <c r="B33" s="31"/>
      <c r="C33" s="24"/>
      <c r="D33" s="18"/>
      <c r="E33" s="18"/>
    </row>
    <row r="34" spans="1:5">
      <c r="A34" s="24"/>
      <c r="B34" s="31"/>
      <c r="C34" s="24"/>
      <c r="D34" s="18"/>
      <c r="E34" s="18"/>
    </row>
    <row r="35" spans="1:5">
      <c r="A35" s="24"/>
      <c r="B35" s="31"/>
      <c r="C35" s="24"/>
      <c r="D35" s="18"/>
      <c r="E35" s="18"/>
    </row>
    <row r="36" spans="1:5">
      <c r="A36" s="24"/>
      <c r="B36" s="31"/>
      <c r="C36" s="24"/>
      <c r="D36" s="18"/>
      <c r="E36" s="18"/>
    </row>
    <row r="37" spans="1:5">
      <c r="A37" s="24"/>
      <c r="B37" s="31"/>
      <c r="C37" s="24"/>
      <c r="D37" s="18"/>
      <c r="E37" s="18"/>
    </row>
    <row r="38" spans="1:5">
      <c r="A38" s="24"/>
      <c r="B38" s="31"/>
      <c r="C38" s="24"/>
      <c r="D38" s="18"/>
      <c r="E38" s="18"/>
    </row>
    <row r="39" spans="1:5">
      <c r="A39" s="24"/>
      <c r="B39" s="31"/>
      <c r="C39" s="24"/>
      <c r="D39" s="18"/>
      <c r="E39" s="18"/>
    </row>
    <row r="40" spans="1:5">
      <c r="A40" s="24"/>
      <c r="B40" s="31"/>
      <c r="C40" s="24"/>
      <c r="D40" s="18"/>
      <c r="E40" s="18"/>
    </row>
    <row r="41" spans="1:5">
      <c r="A41" s="24"/>
      <c r="B41" s="31"/>
      <c r="C41" s="24"/>
      <c r="D41" s="18"/>
      <c r="E41" s="18"/>
    </row>
    <row r="43" spans="1:5">
      <c r="A43" s="24"/>
      <c r="B43" s="31"/>
      <c r="C43" s="24"/>
      <c r="D43" s="18"/>
      <c r="E43" s="18"/>
    </row>
    <row r="44" spans="1:5">
      <c r="A44" s="24"/>
      <c r="B44" s="31"/>
      <c r="C44" s="24"/>
      <c r="D44" s="18"/>
      <c r="E44" s="18"/>
    </row>
    <row r="45" spans="1:5">
      <c r="A45" s="24"/>
      <c r="B45" s="31"/>
      <c r="C45" s="24"/>
      <c r="D45" s="18"/>
      <c r="E45" s="18"/>
    </row>
    <row r="46" spans="1:5">
      <c r="A46" s="24"/>
      <c r="B46" s="31"/>
      <c r="C46" s="24"/>
      <c r="D46" s="18"/>
      <c r="E46" s="18"/>
    </row>
    <row r="47" spans="1:5">
      <c r="A47" s="24"/>
      <c r="B47" s="31"/>
      <c r="C47" s="24"/>
      <c r="D47" s="18"/>
      <c r="E47" s="18"/>
    </row>
    <row r="48" spans="1:5">
      <c r="A48" s="24"/>
      <c r="B48" s="31"/>
      <c r="C48" s="24"/>
      <c r="D48" s="18"/>
      <c r="E48" s="18"/>
    </row>
    <row r="49" spans="1:5">
      <c r="A49" s="24"/>
      <c r="B49" s="31"/>
      <c r="C49" s="24"/>
      <c r="D49" s="18"/>
      <c r="E49" s="18"/>
    </row>
    <row r="50" spans="1:5">
      <c r="A50" s="24"/>
      <c r="B50" s="31"/>
      <c r="C50" s="24"/>
      <c r="D50" s="18"/>
      <c r="E50" s="18"/>
    </row>
    <row r="51" spans="1:5">
      <c r="A51" s="24"/>
      <c r="B51" s="31"/>
      <c r="C51" s="24"/>
      <c r="D51" s="18"/>
      <c r="E51" s="18"/>
    </row>
    <row r="52" spans="1:5">
      <c r="A52" s="24"/>
      <c r="B52" s="31"/>
      <c r="C52" s="24"/>
      <c r="D52" s="18"/>
      <c r="E52" s="18"/>
    </row>
    <row r="53" spans="1:5">
      <c r="A53" s="24"/>
      <c r="B53" s="31"/>
      <c r="C53" s="24"/>
      <c r="D53" s="18"/>
      <c r="E53" s="18"/>
    </row>
    <row r="54" spans="1:5">
      <c r="A54" s="24"/>
      <c r="B54" s="31"/>
      <c r="C54" s="24"/>
      <c r="D54" s="18"/>
      <c r="E54" s="18"/>
    </row>
    <row r="55" spans="1:5">
      <c r="A55" s="24"/>
      <c r="B55" s="31"/>
      <c r="C55" s="24"/>
      <c r="D55" s="18"/>
      <c r="E55" s="18"/>
    </row>
    <row r="56" spans="1:5">
      <c r="A56" s="24"/>
      <c r="B56" s="31"/>
      <c r="C56" s="24"/>
      <c r="D56" s="18"/>
      <c r="E56" s="18"/>
    </row>
    <row r="57" spans="1:5">
      <c r="A57" s="24"/>
      <c r="B57" s="31"/>
      <c r="C57" s="24"/>
      <c r="D57" s="18"/>
      <c r="E57" s="18"/>
    </row>
    <row r="58" spans="1:5">
      <c r="A58" s="24"/>
      <c r="B58" s="31"/>
      <c r="C58" s="24"/>
      <c r="D58" s="18"/>
      <c r="E58" s="18"/>
    </row>
    <row r="59" spans="1:5">
      <c r="A59" s="24"/>
      <c r="B59" s="31"/>
      <c r="C59" s="24"/>
      <c r="D59" s="18"/>
      <c r="E59" s="18"/>
    </row>
    <row r="60" spans="1:5">
      <c r="A60" s="24"/>
      <c r="B60" s="31"/>
      <c r="C60" s="24"/>
      <c r="D60" s="18"/>
      <c r="E60" s="18"/>
    </row>
    <row r="61" spans="1:5">
      <c r="A61" s="24"/>
      <c r="B61" s="31"/>
      <c r="C61" s="24"/>
      <c r="D61" s="18"/>
      <c r="E61" s="18"/>
    </row>
    <row r="62" spans="1:5">
      <c r="A62" s="24"/>
      <c r="B62" s="31"/>
      <c r="C62" s="24"/>
      <c r="D62" s="18"/>
      <c r="E62" s="18"/>
    </row>
    <row r="63" spans="1:5">
      <c r="A63" s="24"/>
      <c r="B63" s="31"/>
      <c r="C63" s="24"/>
      <c r="D63" s="18"/>
      <c r="E63" s="18"/>
    </row>
    <row r="64" spans="1:5">
      <c r="A64" s="24"/>
      <c r="B64" s="31"/>
      <c r="C64" s="24"/>
      <c r="D64" s="18"/>
      <c r="E64" s="18"/>
    </row>
    <row r="65" spans="1:5">
      <c r="A65" s="24"/>
      <c r="B65" s="31"/>
      <c r="C65" s="24"/>
      <c r="D65" s="18"/>
      <c r="E65" s="18"/>
    </row>
    <row r="66" spans="1:5">
      <c r="A66" s="24"/>
      <c r="B66" s="31"/>
      <c r="C66" s="24"/>
      <c r="D66" s="18"/>
      <c r="E66" s="18"/>
    </row>
    <row r="67" spans="1:5">
      <c r="A67" s="24"/>
      <c r="B67" s="31"/>
      <c r="C67" s="24"/>
      <c r="D67" s="18"/>
      <c r="E67" s="18"/>
    </row>
    <row r="68" spans="1:5">
      <c r="A68" s="24"/>
      <c r="B68" s="31"/>
      <c r="C68" s="24"/>
      <c r="D68" s="18"/>
      <c r="E68" s="18"/>
    </row>
    <row r="69" spans="1:5">
      <c r="A69" s="24"/>
      <c r="B69" s="31"/>
      <c r="C69" s="24"/>
      <c r="D69" s="18"/>
      <c r="E69" s="18"/>
    </row>
    <row r="70" spans="1:5">
      <c r="A70" s="24"/>
      <c r="B70" s="31"/>
      <c r="C70" s="24"/>
      <c r="D70" s="18"/>
      <c r="E70" s="18"/>
    </row>
    <row r="71" spans="1:5">
      <c r="A71" s="24"/>
      <c r="B71" s="31"/>
      <c r="C71" s="24"/>
      <c r="D71" s="18"/>
      <c r="E71" s="18"/>
    </row>
    <row r="72" spans="1:5">
      <c r="A72" s="24"/>
      <c r="B72" s="31"/>
      <c r="C72" s="24"/>
      <c r="D72" s="18"/>
      <c r="E72" s="18"/>
    </row>
    <row r="73" spans="1:5">
      <c r="A73" s="24"/>
      <c r="B73" s="31"/>
      <c r="C73" s="24"/>
      <c r="D73" s="18"/>
      <c r="E73" s="18"/>
    </row>
    <row r="74" spans="1:5">
      <c r="A74" s="24"/>
      <c r="B74" s="31"/>
      <c r="C74" s="24"/>
      <c r="D74" s="18"/>
      <c r="E74" s="18"/>
    </row>
    <row r="75" spans="1:5">
      <c r="A75" s="24"/>
      <c r="B75" s="31"/>
      <c r="C75" s="24"/>
      <c r="D75" s="18"/>
      <c r="E75" s="18"/>
    </row>
    <row r="76" spans="1:5">
      <c r="A76" s="24"/>
      <c r="B76" s="31"/>
      <c r="C76" s="24"/>
      <c r="D76" s="18"/>
      <c r="E76" s="18"/>
    </row>
    <row r="77" spans="1:5">
      <c r="A77" s="24"/>
      <c r="B77" s="31"/>
      <c r="C77" s="24"/>
      <c r="D77" s="18"/>
      <c r="E77" s="18"/>
    </row>
    <row r="78" spans="1:5">
      <c r="A78" s="24"/>
      <c r="B78" s="31"/>
      <c r="C78" s="24"/>
      <c r="D78" s="18"/>
      <c r="E78" s="18"/>
    </row>
    <row r="79" spans="1:5">
      <c r="A79" s="24"/>
      <c r="B79" s="31"/>
      <c r="C79" s="24"/>
      <c r="D79" s="18"/>
      <c r="E79" s="18"/>
    </row>
    <row r="80" spans="1:5">
      <c r="A80" s="24"/>
      <c r="B80" s="31"/>
      <c r="C80" s="24"/>
      <c r="D80" s="18"/>
      <c r="E80" s="18"/>
    </row>
    <row r="81" spans="1:5">
      <c r="A81" s="24"/>
      <c r="B81" s="31"/>
      <c r="C81" s="24"/>
      <c r="D81" s="18"/>
      <c r="E81" s="18"/>
    </row>
    <row r="82" spans="1:5">
      <c r="A82" s="24"/>
      <c r="B82" s="31"/>
      <c r="C82" s="24"/>
      <c r="D82" s="18"/>
      <c r="E82" s="18"/>
    </row>
    <row r="83" spans="1:5">
      <c r="A83" s="24"/>
      <c r="B83" s="31"/>
      <c r="C83" s="24"/>
      <c r="D83" s="18"/>
      <c r="E83" s="18"/>
    </row>
    <row r="84" spans="1:5">
      <c r="A84" s="24"/>
      <c r="B84" s="31"/>
      <c r="C84" s="24"/>
      <c r="D84" s="18"/>
      <c r="E84" s="18"/>
    </row>
    <row r="85" spans="1:5">
      <c r="A85" s="24"/>
      <c r="B85" s="31"/>
      <c r="C85" s="24"/>
      <c r="D85" s="18"/>
      <c r="E85" s="18"/>
    </row>
    <row r="86" spans="1:5">
      <c r="A86" s="24"/>
      <c r="B86" s="31"/>
      <c r="C86" s="24"/>
      <c r="D86" s="18"/>
      <c r="E86" s="18"/>
    </row>
    <row r="87" spans="1:5">
      <c r="A87" s="24"/>
      <c r="B87" s="31"/>
      <c r="C87" s="24"/>
      <c r="D87" s="18"/>
      <c r="E87" s="18"/>
    </row>
    <row r="88" spans="1:5">
      <c r="A88" s="24"/>
      <c r="B88" s="31"/>
      <c r="C88" s="24"/>
      <c r="D88" s="18"/>
      <c r="E88" s="18"/>
    </row>
    <row r="89" spans="1:5">
      <c r="A89" s="24"/>
      <c r="B89" s="31"/>
      <c r="C89" s="24"/>
      <c r="D89" s="18"/>
      <c r="E89" s="18"/>
    </row>
    <row r="90" spans="1:5">
      <c r="A90" s="24"/>
      <c r="B90" s="31"/>
      <c r="C90" s="24"/>
      <c r="D90" s="18"/>
      <c r="E90" s="18"/>
    </row>
    <row r="91" spans="1:5">
      <c r="A91" s="24"/>
      <c r="B91" s="31"/>
      <c r="C91" s="24"/>
      <c r="D91" s="18"/>
      <c r="E91" s="18"/>
    </row>
    <row r="92" spans="1:5">
      <c r="A92" s="24"/>
      <c r="B92" s="31"/>
      <c r="C92" s="24"/>
      <c r="D92" s="18"/>
      <c r="E92" s="18"/>
    </row>
    <row r="93" spans="1:5">
      <c r="A93" s="24"/>
      <c r="B93" s="31"/>
      <c r="C93" s="24"/>
      <c r="D93" s="18"/>
      <c r="E93" s="18"/>
    </row>
    <row r="94" spans="1:5">
      <c r="A94" s="24"/>
      <c r="B94" s="31"/>
      <c r="C94" s="24"/>
      <c r="D94" s="18"/>
      <c r="E94" s="18"/>
    </row>
    <row r="95" spans="1:5">
      <c r="A95" s="24"/>
      <c r="B95" s="31"/>
      <c r="C95" s="24"/>
      <c r="D95" s="18"/>
      <c r="E95" s="18"/>
    </row>
    <row r="96" spans="1:5">
      <c r="A96" s="24"/>
      <c r="B96" s="31"/>
      <c r="C96" s="24"/>
      <c r="D96" s="18"/>
      <c r="E96" s="18"/>
    </row>
    <row r="97" spans="1:5">
      <c r="A97" s="24"/>
      <c r="B97" s="31"/>
      <c r="C97" s="24"/>
      <c r="D97" s="18"/>
      <c r="E97" s="18"/>
    </row>
    <row r="98" spans="1:5">
      <c r="A98" s="24"/>
      <c r="B98" s="31"/>
      <c r="C98" s="24"/>
      <c r="D98" s="18"/>
      <c r="E98" s="18"/>
    </row>
    <row r="99" spans="1:5">
      <c r="A99" s="24"/>
      <c r="B99" s="31"/>
      <c r="C99" s="24"/>
      <c r="D99" s="18"/>
      <c r="E99" s="18"/>
    </row>
    <row r="100" spans="1:5">
      <c r="A100" s="24"/>
      <c r="B100" s="31"/>
      <c r="C100" s="24"/>
      <c r="D100" s="18"/>
      <c r="E100" s="18"/>
    </row>
    <row r="101" spans="1:5">
      <c r="A101" s="24"/>
      <c r="B101" s="31"/>
      <c r="C101" s="24"/>
      <c r="D101" s="18"/>
      <c r="E101" s="18"/>
    </row>
    <row r="102" spans="1:5">
      <c r="A102" s="24"/>
      <c r="B102" s="31"/>
      <c r="C102" s="24"/>
      <c r="D102" s="18"/>
      <c r="E102" s="18"/>
    </row>
    <row r="103" spans="1:5">
      <c r="A103" s="24"/>
      <c r="B103" s="31"/>
      <c r="C103" s="24"/>
      <c r="D103" s="18"/>
      <c r="E103" s="18"/>
    </row>
    <row r="104" spans="1:5">
      <c r="A104" s="24"/>
      <c r="B104" s="31"/>
      <c r="C104" s="24"/>
      <c r="D104" s="18"/>
      <c r="E104" s="18"/>
    </row>
    <row r="105" spans="1:5">
      <c r="A105" s="24"/>
      <c r="B105" s="31"/>
      <c r="C105" s="24"/>
      <c r="D105" s="18"/>
      <c r="E105" s="18"/>
    </row>
    <row r="106" spans="1:5">
      <c r="A106" s="24"/>
      <c r="B106" s="31"/>
      <c r="C106" s="24"/>
      <c r="D106" s="18"/>
      <c r="E106" s="18"/>
    </row>
    <row r="107" spans="1:5">
      <c r="A107" s="24"/>
      <c r="B107" s="31"/>
      <c r="C107" s="24"/>
      <c r="D107" s="18"/>
      <c r="E107" s="18"/>
    </row>
    <row r="108" spans="1:5">
      <c r="A108" s="24"/>
      <c r="B108" s="31"/>
      <c r="C108" s="24"/>
      <c r="D108" s="18"/>
      <c r="E108" s="18"/>
    </row>
    <row r="109" spans="1:5">
      <c r="A109" s="24"/>
      <c r="B109" s="31"/>
      <c r="C109" s="24"/>
      <c r="D109" s="18"/>
      <c r="E109" s="18"/>
    </row>
    <row r="110" spans="1:5">
      <c r="A110" s="24"/>
      <c r="B110" s="31"/>
      <c r="C110" s="24"/>
      <c r="D110" s="18"/>
      <c r="E110" s="18"/>
    </row>
    <row r="111" spans="1:5">
      <c r="A111" s="24"/>
      <c r="B111" s="31"/>
      <c r="C111" s="24"/>
      <c r="D111" s="18"/>
      <c r="E111" s="18"/>
    </row>
    <row r="112" spans="1:5">
      <c r="A112" s="24"/>
      <c r="B112" s="31"/>
      <c r="C112" s="24"/>
      <c r="D112" s="18"/>
      <c r="E112" s="18"/>
    </row>
    <row r="113" spans="1:5">
      <c r="A113" s="24"/>
      <c r="B113" s="31"/>
      <c r="C113" s="24"/>
      <c r="D113" s="18"/>
      <c r="E113" s="18"/>
    </row>
    <row r="114" spans="1:5">
      <c r="A114" s="24"/>
      <c r="B114" s="31"/>
      <c r="C114" s="24"/>
      <c r="D114" s="18"/>
      <c r="E114" s="18"/>
    </row>
    <row r="115" spans="1:5">
      <c r="A115" s="24"/>
      <c r="B115" s="31"/>
      <c r="C115" s="24"/>
      <c r="D115" s="18"/>
      <c r="E115" s="18"/>
    </row>
    <row r="116" spans="1:5">
      <c r="A116" s="24"/>
      <c r="B116" s="31"/>
      <c r="C116" s="24"/>
      <c r="D116" s="18"/>
      <c r="E116" s="18"/>
    </row>
    <row r="117" spans="1:5">
      <c r="A117" s="24"/>
      <c r="B117" s="31"/>
      <c r="C117" s="24"/>
      <c r="D117" s="18"/>
      <c r="E117" s="18"/>
    </row>
    <row r="118" spans="1:5">
      <c r="A118" s="24"/>
      <c r="B118" s="31"/>
      <c r="C118" s="24"/>
      <c r="D118" s="18"/>
      <c r="E118" s="18"/>
    </row>
    <row r="119" spans="1:5">
      <c r="A119" s="24"/>
      <c r="B119" s="31"/>
      <c r="C119" s="24"/>
      <c r="D119" s="18"/>
      <c r="E119" s="18"/>
    </row>
    <row r="120" spans="1:5">
      <c r="A120" s="24"/>
      <c r="B120" s="31"/>
      <c r="C120" s="24"/>
      <c r="D120" s="18"/>
      <c r="E120" s="18"/>
    </row>
    <row r="121" spans="1:5">
      <c r="A121" s="24"/>
      <c r="B121" s="31"/>
      <c r="C121" s="24"/>
      <c r="D121" s="18"/>
      <c r="E121" s="18"/>
    </row>
    <row r="122" spans="1:5">
      <c r="A122" s="24"/>
      <c r="B122" s="31"/>
      <c r="C122" s="24"/>
      <c r="D122" s="18"/>
      <c r="E122" s="18"/>
    </row>
    <row r="123" spans="1:5">
      <c r="A123" s="24"/>
      <c r="B123" s="31"/>
      <c r="C123" s="24"/>
      <c r="D123" s="18"/>
      <c r="E123" s="18"/>
    </row>
    <row r="124" spans="1:5">
      <c r="A124" s="24"/>
      <c r="B124" s="31"/>
      <c r="C124" s="24"/>
      <c r="D124" s="18"/>
      <c r="E124" s="18"/>
    </row>
    <row r="125" spans="1:5">
      <c r="A125" s="24"/>
      <c r="B125" s="31"/>
      <c r="C125" s="24"/>
      <c r="D125" s="18"/>
      <c r="E125" s="18"/>
    </row>
    <row r="126" spans="1:5">
      <c r="A126" s="24"/>
      <c r="B126" s="31"/>
      <c r="C126" s="24"/>
      <c r="D126" s="18"/>
      <c r="E126" s="18"/>
    </row>
    <row r="127" spans="1:5">
      <c r="A127" s="24"/>
      <c r="B127" s="31"/>
      <c r="C127" s="24"/>
      <c r="D127" s="18"/>
      <c r="E127" s="18"/>
    </row>
    <row r="128" spans="1:5">
      <c r="A128" s="24"/>
      <c r="B128" s="31"/>
      <c r="C128" s="24"/>
      <c r="D128" s="18"/>
      <c r="E128" s="18"/>
    </row>
    <row r="129" spans="1:5">
      <c r="A129" s="24"/>
      <c r="B129" s="31"/>
      <c r="C129" s="24"/>
      <c r="D129" s="18"/>
      <c r="E129" s="18"/>
    </row>
    <row r="130" spans="1:5">
      <c r="A130" s="24"/>
      <c r="B130" s="31"/>
      <c r="C130" s="24"/>
      <c r="D130" s="18"/>
      <c r="E130" s="18"/>
    </row>
    <row r="131" spans="1:5">
      <c r="A131" s="24"/>
      <c r="B131" s="31"/>
      <c r="C131" s="24"/>
      <c r="D131" s="18"/>
      <c r="E131" s="18"/>
    </row>
    <row r="132" spans="1:5">
      <c r="A132" s="24"/>
      <c r="B132" s="31"/>
      <c r="C132" s="24"/>
      <c r="D132" s="18"/>
      <c r="E132" s="18"/>
    </row>
    <row r="133" spans="1:5">
      <c r="A133" s="24"/>
      <c r="B133" s="31"/>
      <c r="C133" s="24"/>
      <c r="D133" s="18"/>
      <c r="E133" s="18"/>
    </row>
    <row r="134" spans="1:5">
      <c r="A134" s="24"/>
      <c r="B134" s="31"/>
      <c r="C134" s="24"/>
      <c r="D134" s="18"/>
      <c r="E134" s="18"/>
    </row>
    <row r="135" spans="1:5">
      <c r="A135" s="24"/>
      <c r="B135" s="31"/>
      <c r="C135" s="24"/>
      <c r="D135" s="18"/>
      <c r="E135" s="18"/>
    </row>
    <row r="136" spans="1:5">
      <c r="A136" s="24"/>
      <c r="B136" s="31"/>
      <c r="C136" s="24"/>
      <c r="D136" s="18"/>
      <c r="E136" s="18"/>
    </row>
    <row r="137" spans="1:5">
      <c r="A137" s="24"/>
      <c r="B137" s="31"/>
      <c r="C137" s="24"/>
      <c r="D137" s="18"/>
      <c r="E137" s="18"/>
    </row>
    <row r="138" spans="1:5">
      <c r="A138" s="24"/>
      <c r="B138" s="31"/>
      <c r="C138" s="24"/>
      <c r="D138" s="18"/>
      <c r="E138" s="18"/>
    </row>
    <row r="139" spans="1:5">
      <c r="A139" s="24"/>
      <c r="B139" s="31"/>
      <c r="C139" s="24"/>
      <c r="D139" s="18"/>
      <c r="E139" s="18"/>
    </row>
    <row r="140" spans="1:5">
      <c r="A140" s="24"/>
      <c r="B140" s="31"/>
      <c r="C140" s="24"/>
      <c r="D140" s="18"/>
      <c r="E140" s="18"/>
    </row>
    <row r="141" spans="1:5">
      <c r="A141" s="24"/>
      <c r="B141" s="31"/>
      <c r="C141" s="24"/>
      <c r="D141" s="18"/>
      <c r="E141" s="18"/>
    </row>
    <row r="142" spans="1:5">
      <c r="A142" s="24"/>
      <c r="B142" s="31"/>
      <c r="C142" s="24"/>
      <c r="D142" s="18"/>
      <c r="E142" s="18"/>
    </row>
    <row r="143" spans="1:5">
      <c r="A143" s="24"/>
      <c r="B143" s="31"/>
      <c r="C143" s="24"/>
      <c r="D143" s="18"/>
      <c r="E143" s="18"/>
    </row>
    <row r="144" spans="1:5">
      <c r="A144" s="24"/>
      <c r="B144" s="31"/>
      <c r="C144" s="24"/>
      <c r="D144" s="18"/>
      <c r="E144" s="18"/>
    </row>
    <row r="145" spans="1:5">
      <c r="A145" s="24"/>
      <c r="B145" s="31"/>
      <c r="C145" s="24"/>
      <c r="D145" s="18"/>
      <c r="E145" s="18"/>
    </row>
    <row r="146" spans="1:5">
      <c r="A146" s="24"/>
      <c r="B146" s="31"/>
      <c r="C146" s="24"/>
      <c r="D146" s="18"/>
      <c r="E146" s="18"/>
    </row>
    <row r="147" spans="1:5">
      <c r="A147" s="24"/>
      <c r="B147" s="31"/>
      <c r="C147" s="24"/>
      <c r="D147" s="18"/>
      <c r="E147" s="18"/>
    </row>
    <row r="148" spans="1:5">
      <c r="A148" s="24"/>
      <c r="B148" s="31"/>
      <c r="C148" s="24"/>
      <c r="D148" s="18"/>
      <c r="E148" s="18"/>
    </row>
    <row r="149" spans="1:5">
      <c r="A149" s="24"/>
      <c r="B149" s="31"/>
      <c r="C149" s="24"/>
      <c r="D149" s="18"/>
      <c r="E149" s="18"/>
    </row>
    <row r="150" spans="1:5">
      <c r="A150" s="24"/>
      <c r="B150" s="31"/>
      <c r="C150" s="24"/>
      <c r="D150" s="18"/>
      <c r="E150" s="18"/>
    </row>
    <row r="151" spans="1:5">
      <c r="A151" s="17"/>
      <c r="B151" s="18"/>
      <c r="C151" s="17"/>
      <c r="D151" s="18"/>
      <c r="E151" s="18"/>
    </row>
    <row r="152" spans="1:5">
      <c r="A152" s="17"/>
      <c r="B152" s="18"/>
      <c r="C152" s="17"/>
      <c r="D152" s="18"/>
      <c r="E152" s="18"/>
    </row>
    <row r="153" spans="1:5">
      <c r="A153" s="17"/>
      <c r="B153" s="18"/>
      <c r="C153" s="17"/>
      <c r="D153" s="18"/>
      <c r="E153" s="18"/>
    </row>
    <row r="154" spans="1:5">
      <c r="A154" s="17"/>
      <c r="B154" s="18"/>
      <c r="C154" s="17"/>
      <c r="D154" s="18"/>
      <c r="E154" s="18"/>
    </row>
    <row r="155" spans="1:5">
      <c r="A155" s="17"/>
      <c r="B155" s="18"/>
      <c r="C155" s="17"/>
      <c r="D155" s="18"/>
      <c r="E155" s="18"/>
    </row>
    <row r="156" spans="1:5">
      <c r="D156" s="1"/>
    </row>
    <row r="157" spans="1:5">
      <c r="D157" s="1"/>
    </row>
    <row r="158" spans="1:5">
      <c r="D158" s="1"/>
    </row>
    <row r="159" spans="1:5">
      <c r="D159" s="1"/>
    </row>
    <row r="160" spans="1:5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2:K15"/>
  <sheetViews>
    <sheetView tabSelected="1" workbookViewId="0">
      <selection activeCell="H6" sqref="H6"/>
    </sheetView>
  </sheetViews>
  <sheetFormatPr defaultRowHeight="15"/>
  <cols>
    <col min="1" max="1" width="13.85546875" customWidth="1"/>
    <col min="2" max="2" width="15.28515625" customWidth="1"/>
    <col min="3" max="3" width="18.28515625" customWidth="1"/>
    <col min="5" max="5" width="11.85546875" customWidth="1"/>
    <col min="8" max="8" width="18.28515625" customWidth="1"/>
  </cols>
  <sheetData>
    <row r="2" spans="1:11">
      <c r="A2" s="29" t="s">
        <v>845</v>
      </c>
      <c r="B2" s="14" t="s">
        <v>87</v>
      </c>
      <c r="C2" s="14" t="s">
        <v>828</v>
      </c>
      <c r="D2" s="71" t="s">
        <v>855</v>
      </c>
      <c r="E2" s="74" t="s">
        <v>876</v>
      </c>
      <c r="F2" s="74" t="s">
        <v>1</v>
      </c>
      <c r="G2" s="73" t="s">
        <v>98</v>
      </c>
      <c r="H2" s="18" t="s">
        <v>907</v>
      </c>
      <c r="I2" s="18"/>
      <c r="J2" s="18"/>
      <c r="K2" s="31"/>
    </row>
    <row r="3" spans="1:11">
      <c r="A3" s="69" t="s">
        <v>850</v>
      </c>
      <c r="B3" s="70" t="s">
        <v>889</v>
      </c>
      <c r="C3" s="70" t="s">
        <v>850</v>
      </c>
      <c r="D3" s="70" t="s">
        <v>851</v>
      </c>
      <c r="E3" s="70" t="s">
        <v>877</v>
      </c>
      <c r="F3" s="70" t="s">
        <v>851</v>
      </c>
      <c r="G3" s="70" t="s">
        <v>851</v>
      </c>
      <c r="H3" s="70" t="s">
        <v>908</v>
      </c>
      <c r="I3" s="70"/>
      <c r="J3" s="72"/>
      <c r="K3" s="70"/>
    </row>
    <row r="4" spans="1:11">
      <c r="A4" s="77" t="s">
        <v>897</v>
      </c>
      <c r="B4" s="31" t="s">
        <v>890</v>
      </c>
      <c r="C4" s="70"/>
      <c r="D4" s="70">
        <v>-1</v>
      </c>
      <c r="E4" s="79" t="s">
        <v>899</v>
      </c>
      <c r="F4" s="70">
        <v>0</v>
      </c>
      <c r="G4" s="70">
        <v>0</v>
      </c>
      <c r="H4" s="79" t="s">
        <v>909</v>
      </c>
      <c r="I4" s="70"/>
      <c r="J4" s="72"/>
      <c r="K4" s="70"/>
    </row>
    <row r="5" spans="1:11">
      <c r="A5" s="75" t="s">
        <v>867</v>
      </c>
      <c r="B5" s="31" t="s">
        <v>890</v>
      </c>
      <c r="C5" s="31" t="s">
        <v>867</v>
      </c>
      <c r="D5" s="31">
        <v>0</v>
      </c>
      <c r="E5" s="11" t="s">
        <v>878</v>
      </c>
      <c r="F5" s="11">
        <v>2</v>
      </c>
      <c r="G5" s="11">
        <v>100</v>
      </c>
      <c r="H5" s="79" t="s">
        <v>909</v>
      </c>
      <c r="I5" s="31"/>
      <c r="J5" s="18"/>
    </row>
    <row r="6" spans="1:11">
      <c r="A6" s="75" t="s">
        <v>868</v>
      </c>
      <c r="B6" s="31" t="s">
        <v>890</v>
      </c>
      <c r="C6" s="31" t="s">
        <v>868</v>
      </c>
      <c r="D6" s="31">
        <v>1</v>
      </c>
      <c r="E6" s="11" t="s">
        <v>878</v>
      </c>
      <c r="F6" s="11">
        <v>3</v>
      </c>
      <c r="G6" s="11">
        <v>100</v>
      </c>
      <c r="H6" s="79" t="s">
        <v>909</v>
      </c>
      <c r="I6" s="31"/>
      <c r="J6" s="18"/>
    </row>
    <row r="7" spans="1:11">
      <c r="A7" s="75" t="s">
        <v>869</v>
      </c>
      <c r="B7" s="31" t="s">
        <v>890</v>
      </c>
      <c r="C7" s="31" t="s">
        <v>869</v>
      </c>
      <c r="D7" s="31">
        <v>2</v>
      </c>
      <c r="E7" s="11" t="s">
        <v>878</v>
      </c>
      <c r="F7" s="11">
        <v>4</v>
      </c>
      <c r="G7" s="11">
        <v>100</v>
      </c>
      <c r="H7" s="79" t="s">
        <v>890</v>
      </c>
      <c r="I7" s="31"/>
      <c r="J7" s="18"/>
    </row>
    <row r="8" spans="1:11">
      <c r="A8" s="75" t="s">
        <v>870</v>
      </c>
      <c r="B8" s="31" t="s">
        <v>890</v>
      </c>
      <c r="C8" s="31" t="s">
        <v>870</v>
      </c>
      <c r="D8" s="31">
        <v>1</v>
      </c>
      <c r="E8" s="11" t="s">
        <v>878</v>
      </c>
      <c r="F8" s="11">
        <v>5</v>
      </c>
      <c r="G8" s="11">
        <v>100</v>
      </c>
      <c r="H8" s="79" t="s">
        <v>890</v>
      </c>
    </row>
    <row r="9" spans="1:11">
      <c r="A9" s="75" t="s">
        <v>871</v>
      </c>
      <c r="B9" s="31" t="s">
        <v>890</v>
      </c>
      <c r="C9" s="31" t="s">
        <v>871</v>
      </c>
      <c r="D9" s="31">
        <v>1</v>
      </c>
      <c r="E9" s="11" t="s">
        <v>878</v>
      </c>
      <c r="F9" s="11">
        <v>6</v>
      </c>
      <c r="G9" s="11">
        <v>100</v>
      </c>
      <c r="H9" s="79" t="s">
        <v>890</v>
      </c>
    </row>
    <row r="10" spans="1:11">
      <c r="A10" s="75" t="s">
        <v>872</v>
      </c>
      <c r="B10" s="31" t="s">
        <v>890</v>
      </c>
      <c r="C10" s="31" t="s">
        <v>872</v>
      </c>
      <c r="D10" s="31">
        <v>2</v>
      </c>
      <c r="E10" s="11" t="s">
        <v>878</v>
      </c>
      <c r="F10" s="11">
        <v>1</v>
      </c>
      <c r="G10" s="11">
        <v>100</v>
      </c>
      <c r="H10" s="79" t="s">
        <v>890</v>
      </c>
    </row>
    <row r="11" spans="1:11">
      <c r="A11" s="75" t="s">
        <v>873</v>
      </c>
      <c r="B11" s="31" t="s">
        <v>890</v>
      </c>
      <c r="C11" s="31" t="s">
        <v>873</v>
      </c>
      <c r="D11" s="31">
        <v>1</v>
      </c>
      <c r="E11" s="11" t="s">
        <v>878</v>
      </c>
      <c r="F11" s="11">
        <v>2</v>
      </c>
      <c r="G11" s="11">
        <v>100</v>
      </c>
      <c r="H11" s="79" t="s">
        <v>909</v>
      </c>
    </row>
    <row r="12" spans="1:11">
      <c r="A12" s="75" t="s">
        <v>874</v>
      </c>
      <c r="B12" s="31" t="s">
        <v>890</v>
      </c>
      <c r="C12" s="31" t="s">
        <v>874</v>
      </c>
      <c r="D12" s="31">
        <v>1</v>
      </c>
      <c r="E12" s="11" t="s">
        <v>878</v>
      </c>
      <c r="F12" s="11">
        <v>3</v>
      </c>
      <c r="G12" s="11">
        <v>100</v>
      </c>
      <c r="H12" s="79" t="s">
        <v>909</v>
      </c>
    </row>
    <row r="13" spans="1:11">
      <c r="A13" s="75" t="s">
        <v>875</v>
      </c>
      <c r="B13" s="31" t="s">
        <v>890</v>
      </c>
      <c r="C13" s="31" t="s">
        <v>875</v>
      </c>
      <c r="D13" s="31">
        <v>1</v>
      </c>
      <c r="E13" s="11" t="s">
        <v>878</v>
      </c>
      <c r="F13" s="11">
        <v>4</v>
      </c>
      <c r="G13" s="11">
        <v>100</v>
      </c>
      <c r="H13" s="79" t="s">
        <v>909</v>
      </c>
    </row>
    <row r="14" spans="1:11">
      <c r="A14" s="75" t="s">
        <v>902</v>
      </c>
      <c r="B14" s="31" t="s">
        <v>901</v>
      </c>
      <c r="C14" s="31" t="s">
        <v>902</v>
      </c>
      <c r="D14" s="31">
        <v>1</v>
      </c>
      <c r="E14" s="11" t="s">
        <v>878</v>
      </c>
      <c r="F14" s="11">
        <v>1</v>
      </c>
      <c r="G14" s="11">
        <v>101</v>
      </c>
      <c r="H14" s="1" t="s">
        <v>901</v>
      </c>
    </row>
    <row r="15" spans="1:11">
      <c r="A15" s="75" t="s">
        <v>906</v>
      </c>
      <c r="B15" s="31" t="s">
        <v>901</v>
      </c>
      <c r="C15" s="31" t="s">
        <v>902</v>
      </c>
      <c r="D15" s="31">
        <v>1</v>
      </c>
      <c r="E15" s="11" t="s">
        <v>878</v>
      </c>
      <c r="F15" s="11">
        <v>1</v>
      </c>
      <c r="G15" s="11">
        <v>101</v>
      </c>
      <c r="H15" s="1" t="s">
        <v>901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6"/>
  <dimension ref="A1:N22"/>
  <sheetViews>
    <sheetView workbookViewId="0">
      <selection activeCell="O10" sqref="O10"/>
    </sheetView>
  </sheetViews>
  <sheetFormatPr defaultRowHeight="15"/>
  <cols>
    <col min="1" max="1" width="22.28515625" customWidth="1"/>
    <col min="7" max="8" width="9.140625" customWidth="1"/>
    <col min="10" max="10" width="8.140625" customWidth="1"/>
    <col min="11" max="14" width="5.7109375" customWidth="1"/>
  </cols>
  <sheetData>
    <row r="1" spans="1:14">
      <c r="B1" t="s">
        <v>892</v>
      </c>
    </row>
    <row r="2" spans="1:14">
      <c r="A2" s="29" t="s">
        <v>845</v>
      </c>
      <c r="B2" s="76" t="s">
        <v>854</v>
      </c>
      <c r="C2" s="76" t="s">
        <v>853</v>
      </c>
      <c r="D2" s="76" t="s">
        <v>886</v>
      </c>
      <c r="E2" s="76" t="s">
        <v>887</v>
      </c>
      <c r="F2" s="76" t="s">
        <v>888</v>
      </c>
      <c r="G2" s="76" t="s">
        <v>47</v>
      </c>
      <c r="H2" s="76" t="s">
        <v>891</v>
      </c>
      <c r="I2" s="76" t="s">
        <v>896</v>
      </c>
      <c r="J2" s="76" t="s">
        <v>905</v>
      </c>
      <c r="K2" s="25" t="s">
        <v>882</v>
      </c>
      <c r="L2" s="25" t="s">
        <v>883</v>
      </c>
      <c r="M2" s="25" t="s">
        <v>884</v>
      </c>
      <c r="N2" s="25" t="s">
        <v>885</v>
      </c>
    </row>
    <row r="3" spans="1:14">
      <c r="A3" s="69" t="s">
        <v>850</v>
      </c>
      <c r="B3" s="70" t="s">
        <v>851</v>
      </c>
      <c r="C3" s="70" t="s">
        <v>851</v>
      </c>
      <c r="D3" s="70" t="s">
        <v>851</v>
      </c>
      <c r="E3" s="70" t="s">
        <v>851</v>
      </c>
      <c r="F3" s="70" t="s">
        <v>851</v>
      </c>
      <c r="G3" s="70" t="s">
        <v>851</v>
      </c>
      <c r="H3" s="70" t="s">
        <v>852</v>
      </c>
      <c r="I3" s="70" t="s">
        <v>852</v>
      </c>
      <c r="J3" s="70" t="s">
        <v>852</v>
      </c>
      <c r="K3" s="70" t="s">
        <v>851</v>
      </c>
      <c r="L3" s="70" t="s">
        <v>851</v>
      </c>
      <c r="M3" s="70" t="s">
        <v>851</v>
      </c>
      <c r="N3" s="70" t="s">
        <v>851</v>
      </c>
    </row>
    <row r="4" spans="1:14">
      <c r="A4" s="77" t="s">
        <v>893</v>
      </c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</row>
    <row r="5" spans="1:14">
      <c r="A5" s="77" t="s">
        <v>897</v>
      </c>
      <c r="B5" s="79">
        <v>5</v>
      </c>
      <c r="C5" s="79">
        <v>10</v>
      </c>
      <c r="D5" s="79">
        <v>0</v>
      </c>
      <c r="E5" s="79">
        <v>0</v>
      </c>
      <c r="F5" s="79">
        <v>0</v>
      </c>
      <c r="G5" s="79">
        <v>0</v>
      </c>
      <c r="H5" s="79">
        <v>1</v>
      </c>
      <c r="I5" s="79">
        <v>0</v>
      </c>
      <c r="J5" s="79">
        <v>0</v>
      </c>
      <c r="K5" s="79">
        <v>0</v>
      </c>
      <c r="L5" s="79">
        <v>0</v>
      </c>
      <c r="M5" s="79">
        <v>0</v>
      </c>
      <c r="N5" s="79">
        <v>0</v>
      </c>
    </row>
    <row r="6" spans="1:14">
      <c r="A6" s="75" t="s">
        <v>867</v>
      </c>
      <c r="B6" s="18">
        <v>19</v>
      </c>
      <c r="C6" s="18">
        <v>25</v>
      </c>
      <c r="D6" s="18">
        <v>0</v>
      </c>
      <c r="E6" s="18">
        <v>0</v>
      </c>
      <c r="F6" s="18">
        <v>0</v>
      </c>
      <c r="G6" s="18">
        <v>5</v>
      </c>
      <c r="H6" s="18">
        <v>2</v>
      </c>
      <c r="I6" s="18">
        <v>0</v>
      </c>
      <c r="J6" s="18">
        <v>0</v>
      </c>
      <c r="K6" s="31">
        <v>0</v>
      </c>
      <c r="L6" s="31">
        <v>0</v>
      </c>
      <c r="M6" s="31">
        <v>0</v>
      </c>
      <c r="N6" s="31">
        <v>0</v>
      </c>
    </row>
    <row r="7" spans="1:14">
      <c r="A7" s="75" t="s">
        <v>868</v>
      </c>
      <c r="B7" s="18">
        <v>17</v>
      </c>
      <c r="C7" s="18">
        <v>23</v>
      </c>
      <c r="D7" s="18">
        <v>0</v>
      </c>
      <c r="E7" s="18">
        <v>0</v>
      </c>
      <c r="F7" s="18">
        <v>0</v>
      </c>
      <c r="G7" s="18">
        <v>5</v>
      </c>
      <c r="H7" s="18">
        <v>2</v>
      </c>
      <c r="I7" s="18">
        <v>0</v>
      </c>
      <c r="J7" s="18">
        <v>0</v>
      </c>
      <c r="K7" s="31">
        <v>0</v>
      </c>
      <c r="L7" s="31">
        <v>0</v>
      </c>
      <c r="M7" s="31">
        <v>0</v>
      </c>
      <c r="N7" s="31">
        <v>0</v>
      </c>
    </row>
    <row r="8" spans="1:14">
      <c r="A8" s="75" t="s">
        <v>869</v>
      </c>
      <c r="B8" s="18">
        <v>12</v>
      </c>
      <c r="C8" s="18">
        <v>28</v>
      </c>
      <c r="D8" s="18">
        <v>0</v>
      </c>
      <c r="E8" s="18">
        <v>0</v>
      </c>
      <c r="F8" s="18">
        <v>0</v>
      </c>
      <c r="G8" s="18">
        <v>5</v>
      </c>
      <c r="H8" s="18">
        <v>2</v>
      </c>
      <c r="I8" s="18">
        <v>0</v>
      </c>
      <c r="J8" s="18">
        <v>0</v>
      </c>
      <c r="K8" s="31">
        <v>0</v>
      </c>
      <c r="L8" s="31">
        <v>0</v>
      </c>
      <c r="M8" s="31">
        <v>0</v>
      </c>
      <c r="N8" s="31">
        <v>0</v>
      </c>
    </row>
    <row r="9" spans="1:14">
      <c r="A9" s="75" t="s">
        <v>870</v>
      </c>
      <c r="B9" s="1">
        <v>50</v>
      </c>
      <c r="C9" s="1">
        <v>100</v>
      </c>
      <c r="D9" s="18">
        <v>0</v>
      </c>
      <c r="E9" s="18">
        <v>0</v>
      </c>
      <c r="F9" s="18">
        <v>0</v>
      </c>
      <c r="G9" s="18">
        <v>10</v>
      </c>
      <c r="H9" s="18">
        <v>1</v>
      </c>
      <c r="I9" s="18">
        <v>0</v>
      </c>
      <c r="J9" s="18">
        <v>0</v>
      </c>
      <c r="K9" s="31">
        <v>0</v>
      </c>
      <c r="L9" s="31">
        <v>0</v>
      </c>
      <c r="M9" s="31">
        <v>0</v>
      </c>
      <c r="N9" s="31">
        <v>0</v>
      </c>
    </row>
    <row r="10" spans="1:14">
      <c r="A10" s="75" t="s">
        <v>871</v>
      </c>
      <c r="B10" s="18">
        <f>B11</f>
        <v>10</v>
      </c>
      <c r="C10" s="18">
        <f>C11</f>
        <v>20</v>
      </c>
      <c r="D10" s="18">
        <v>0</v>
      </c>
      <c r="E10" s="18">
        <v>0</v>
      </c>
      <c r="F10" s="18">
        <v>0</v>
      </c>
      <c r="G10" s="9">
        <v>20</v>
      </c>
      <c r="H10" s="9">
        <v>1.5</v>
      </c>
      <c r="I10" s="18">
        <v>0</v>
      </c>
      <c r="J10" s="18">
        <v>0</v>
      </c>
      <c r="K10" s="31">
        <v>0</v>
      </c>
      <c r="L10" s="31">
        <v>0</v>
      </c>
      <c r="M10" s="31">
        <v>0</v>
      </c>
      <c r="N10" s="31">
        <v>0</v>
      </c>
    </row>
    <row r="11" spans="1:14">
      <c r="A11" s="75" t="s">
        <v>872</v>
      </c>
      <c r="B11" s="18">
        <v>10</v>
      </c>
      <c r="C11" s="18">
        <v>20</v>
      </c>
      <c r="D11" s="18">
        <v>0</v>
      </c>
      <c r="E11" s="18">
        <v>0</v>
      </c>
      <c r="F11" s="18">
        <v>0</v>
      </c>
      <c r="G11" s="9">
        <v>25</v>
      </c>
      <c r="H11" s="9">
        <v>1.5</v>
      </c>
      <c r="I11" s="18">
        <v>0</v>
      </c>
      <c r="J11" s="18">
        <v>0</v>
      </c>
      <c r="K11" s="31">
        <v>0</v>
      </c>
      <c r="L11" s="31">
        <v>0</v>
      </c>
      <c r="M11" s="31">
        <v>0</v>
      </c>
      <c r="N11" s="31">
        <v>0</v>
      </c>
    </row>
    <row r="12" spans="1:14">
      <c r="A12" s="75" t="s">
        <v>873</v>
      </c>
      <c r="B12" s="18">
        <v>20</v>
      </c>
      <c r="C12" s="18">
        <v>33</v>
      </c>
      <c r="D12" s="18">
        <v>0</v>
      </c>
      <c r="E12" s="18">
        <v>0</v>
      </c>
      <c r="F12" s="18">
        <v>0</v>
      </c>
      <c r="G12" s="18">
        <v>5</v>
      </c>
      <c r="H12" s="18">
        <v>2</v>
      </c>
      <c r="I12" s="18">
        <v>0</v>
      </c>
      <c r="J12" s="18">
        <v>0</v>
      </c>
      <c r="K12" s="31">
        <v>0</v>
      </c>
      <c r="L12" s="31">
        <v>0</v>
      </c>
      <c r="M12" s="31">
        <v>0</v>
      </c>
      <c r="N12" s="31">
        <v>0</v>
      </c>
    </row>
    <row r="13" spans="1:14">
      <c r="A13" s="75" t="s">
        <v>874</v>
      </c>
      <c r="B13" s="18">
        <v>100</v>
      </c>
      <c r="C13" s="18">
        <v>100</v>
      </c>
      <c r="D13" s="18">
        <v>0</v>
      </c>
      <c r="E13" s="18">
        <v>0</v>
      </c>
      <c r="F13" s="18">
        <v>0</v>
      </c>
      <c r="G13" s="18">
        <v>1</v>
      </c>
      <c r="H13" s="18">
        <v>1</v>
      </c>
      <c r="I13" s="18">
        <v>0</v>
      </c>
      <c r="J13" s="18">
        <v>0</v>
      </c>
      <c r="K13" s="31">
        <v>0</v>
      </c>
      <c r="L13" s="31">
        <v>0</v>
      </c>
      <c r="M13" s="31">
        <v>0</v>
      </c>
      <c r="N13" s="31">
        <v>0</v>
      </c>
    </row>
    <row r="14" spans="1:14">
      <c r="A14" s="75" t="s">
        <v>875</v>
      </c>
      <c r="B14" s="1">
        <v>50</v>
      </c>
      <c r="C14" s="1">
        <v>100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31">
        <v>0</v>
      </c>
      <c r="L14" s="31">
        <v>0</v>
      </c>
      <c r="M14" s="31">
        <v>0</v>
      </c>
      <c r="N14" s="31">
        <v>0</v>
      </c>
    </row>
    <row r="15" spans="1:14">
      <c r="A15" s="75" t="s">
        <v>894</v>
      </c>
    </row>
    <row r="16" spans="1:14">
      <c r="A16" s="75" t="s">
        <v>895</v>
      </c>
      <c r="B16" s="18">
        <v>0</v>
      </c>
      <c r="C16" s="18">
        <v>0</v>
      </c>
      <c r="D16" s="18">
        <v>0</v>
      </c>
      <c r="E16" s="18">
        <v>100</v>
      </c>
      <c r="F16" s="18">
        <v>20</v>
      </c>
      <c r="G16" s="18">
        <v>0</v>
      </c>
      <c r="H16" s="18">
        <v>1</v>
      </c>
      <c r="I16" s="18">
        <v>0</v>
      </c>
      <c r="J16" s="18">
        <v>3.5</v>
      </c>
      <c r="K16" s="31">
        <v>16</v>
      </c>
      <c r="L16" s="31">
        <v>12</v>
      </c>
      <c r="M16" s="31">
        <v>6</v>
      </c>
      <c r="N16" s="31">
        <v>14</v>
      </c>
    </row>
    <row r="19" spans="2:2">
      <c r="B19" s="83"/>
    </row>
    <row r="20" spans="2:2">
      <c r="B20" s="80"/>
    </row>
    <row r="21" spans="2:2">
      <c r="B21" s="81"/>
    </row>
    <row r="22" spans="2:2" ht="16.5">
      <c r="B22" s="82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8"/>
  <dimension ref="A2:E102"/>
  <sheetViews>
    <sheetView workbookViewId="0">
      <selection activeCell="F21" sqref="F21"/>
    </sheetView>
  </sheetViews>
  <sheetFormatPr defaultRowHeight="15"/>
  <cols>
    <col min="1" max="1" width="15.140625" customWidth="1"/>
    <col min="5" max="5" width="13" customWidth="1"/>
  </cols>
  <sheetData>
    <row r="2" spans="1:5">
      <c r="A2" s="29" t="s">
        <v>845</v>
      </c>
      <c r="B2" s="14" t="s">
        <v>900</v>
      </c>
      <c r="C2" s="14" t="s">
        <v>904</v>
      </c>
      <c r="D2" s="74" t="s">
        <v>903</v>
      </c>
      <c r="E2" s="74" t="s">
        <v>876</v>
      </c>
    </row>
    <row r="3" spans="1:5">
      <c r="A3" s="69" t="s">
        <v>850</v>
      </c>
      <c r="B3" s="70" t="s">
        <v>852</v>
      </c>
      <c r="C3" s="70" t="s">
        <v>852</v>
      </c>
      <c r="D3" s="70" t="s">
        <v>851</v>
      </c>
      <c r="E3" s="70" t="s">
        <v>877</v>
      </c>
    </row>
    <row r="4" spans="1:5">
      <c r="A4" s="75" t="s">
        <v>895</v>
      </c>
      <c r="B4" s="70">
        <v>2</v>
      </c>
      <c r="C4" s="70">
        <v>8</v>
      </c>
      <c r="D4" s="70">
        <v>0</v>
      </c>
      <c r="E4" s="79" t="s">
        <v>878</v>
      </c>
    </row>
    <row r="5" spans="1:5">
      <c r="A5" s="75"/>
      <c r="B5" s="31"/>
      <c r="C5" s="31"/>
      <c r="D5" s="11"/>
      <c r="E5" s="11"/>
    </row>
    <row r="6" spans="1:5">
      <c r="A6" s="75"/>
      <c r="B6" s="31"/>
      <c r="C6" s="31"/>
      <c r="D6" s="11"/>
      <c r="E6" s="11"/>
    </row>
    <row r="7" spans="1:5">
      <c r="A7" s="75"/>
      <c r="B7" s="31"/>
      <c r="C7" s="31"/>
      <c r="D7" s="11"/>
      <c r="E7" s="11"/>
    </row>
    <row r="8" spans="1:5">
      <c r="A8" s="75"/>
      <c r="B8" s="31"/>
      <c r="C8" s="31"/>
      <c r="D8" s="11"/>
      <c r="E8" s="11"/>
    </row>
    <row r="9" spans="1:5">
      <c r="A9" s="75"/>
      <c r="B9" s="31"/>
      <c r="C9" s="31"/>
      <c r="D9" s="11"/>
      <c r="E9" s="11"/>
    </row>
    <row r="10" spans="1:5">
      <c r="A10" s="75"/>
      <c r="B10" s="31"/>
      <c r="C10" s="31"/>
      <c r="D10" s="11"/>
      <c r="E10" s="11"/>
    </row>
    <row r="11" spans="1:5">
      <c r="A11" s="75"/>
      <c r="B11" s="31"/>
      <c r="C11" s="31"/>
      <c r="D11" s="11"/>
      <c r="E11" s="11"/>
    </row>
    <row r="12" spans="1:5">
      <c r="A12" s="75"/>
      <c r="B12" s="31"/>
      <c r="C12" s="31"/>
      <c r="D12" s="11"/>
      <c r="E12" s="11"/>
    </row>
    <row r="13" spans="1:5">
      <c r="A13" s="75"/>
      <c r="B13" s="31"/>
      <c r="C13" s="31"/>
      <c r="D13" s="11"/>
      <c r="E13" s="11"/>
    </row>
    <row r="14" spans="1:5">
      <c r="D14" s="10"/>
    </row>
    <row r="15" spans="1:5">
      <c r="D15" s="10"/>
    </row>
    <row r="16" spans="1:5">
      <c r="D16" s="10"/>
    </row>
    <row r="17" spans="4:4">
      <c r="D17" s="10"/>
    </row>
    <row r="18" spans="4:4">
      <c r="D18" s="10"/>
    </row>
    <row r="19" spans="4:4">
      <c r="D19" s="10"/>
    </row>
    <row r="20" spans="4:4">
      <c r="D20" s="10"/>
    </row>
    <row r="21" spans="4:4">
      <c r="D21" s="10"/>
    </row>
    <row r="22" spans="4:4">
      <c r="D22" s="10"/>
    </row>
    <row r="23" spans="4:4">
      <c r="D23" s="10"/>
    </row>
    <row r="24" spans="4:4">
      <c r="D24" s="10"/>
    </row>
    <row r="25" spans="4:4">
      <c r="D25" s="10"/>
    </row>
    <row r="26" spans="4:4">
      <c r="D26" s="10"/>
    </row>
    <row r="27" spans="4:4">
      <c r="D27" s="10"/>
    </row>
    <row r="28" spans="4:4">
      <c r="D28" s="10"/>
    </row>
    <row r="29" spans="4:4">
      <c r="D29" s="10"/>
    </row>
    <row r="30" spans="4:4">
      <c r="D30" s="10"/>
    </row>
    <row r="31" spans="4:4">
      <c r="D31" s="10"/>
    </row>
    <row r="32" spans="4:4">
      <c r="D32" s="10"/>
    </row>
    <row r="33" spans="4:4">
      <c r="D33" s="10"/>
    </row>
    <row r="34" spans="4:4">
      <c r="D34" s="10"/>
    </row>
    <row r="35" spans="4:4">
      <c r="D35" s="10"/>
    </row>
    <row r="36" spans="4:4">
      <c r="D36" s="10"/>
    </row>
    <row r="37" spans="4:4">
      <c r="D37" s="10"/>
    </row>
    <row r="38" spans="4:4">
      <c r="D38" s="10"/>
    </row>
    <row r="39" spans="4:4">
      <c r="D39" s="10"/>
    </row>
    <row r="40" spans="4:4">
      <c r="D40" s="10"/>
    </row>
    <row r="41" spans="4:4">
      <c r="D41" s="10"/>
    </row>
    <row r="42" spans="4:4">
      <c r="D42" s="10"/>
    </row>
    <row r="43" spans="4:4">
      <c r="D43" s="10"/>
    </row>
    <row r="44" spans="4:4">
      <c r="D44" s="10"/>
    </row>
    <row r="45" spans="4:4">
      <c r="D45" s="10"/>
    </row>
    <row r="46" spans="4:4">
      <c r="D46" s="10"/>
    </row>
    <row r="47" spans="4:4">
      <c r="D47" s="10"/>
    </row>
    <row r="48" spans="4:4">
      <c r="D48" s="10"/>
    </row>
    <row r="49" spans="4:4">
      <c r="D49" s="10"/>
    </row>
    <row r="50" spans="4:4">
      <c r="D50" s="10"/>
    </row>
    <row r="51" spans="4:4">
      <c r="D51" s="10"/>
    </row>
    <row r="52" spans="4:4">
      <c r="D52" s="10"/>
    </row>
    <row r="53" spans="4:4">
      <c r="D53" s="10"/>
    </row>
    <row r="54" spans="4:4">
      <c r="D54" s="10"/>
    </row>
    <row r="55" spans="4:4">
      <c r="D55" s="10"/>
    </row>
    <row r="56" spans="4:4">
      <c r="D56" s="10"/>
    </row>
    <row r="57" spans="4:4">
      <c r="D57" s="10"/>
    </row>
    <row r="58" spans="4:4">
      <c r="D58" s="10"/>
    </row>
    <row r="59" spans="4:4">
      <c r="D59" s="10"/>
    </row>
    <row r="60" spans="4:4">
      <c r="D60" s="10"/>
    </row>
    <row r="61" spans="4:4">
      <c r="D61" s="10"/>
    </row>
    <row r="62" spans="4:4">
      <c r="D62" s="10"/>
    </row>
    <row r="63" spans="4:4">
      <c r="D63" s="10"/>
    </row>
    <row r="64" spans="4:4">
      <c r="D64" s="10"/>
    </row>
    <row r="65" spans="4:4">
      <c r="D65" s="10"/>
    </row>
    <row r="66" spans="4:4">
      <c r="D66" s="10"/>
    </row>
    <row r="67" spans="4:4">
      <c r="D67" s="10"/>
    </row>
    <row r="68" spans="4:4">
      <c r="D68" s="10"/>
    </row>
    <row r="69" spans="4:4">
      <c r="D69" s="10"/>
    </row>
    <row r="70" spans="4:4">
      <c r="D70" s="10"/>
    </row>
    <row r="71" spans="4:4">
      <c r="D71" s="10"/>
    </row>
    <row r="72" spans="4:4">
      <c r="D72" s="10"/>
    </row>
    <row r="73" spans="4:4">
      <c r="D73" s="10"/>
    </row>
    <row r="74" spans="4:4">
      <c r="D74" s="10"/>
    </row>
    <row r="75" spans="4:4">
      <c r="D75" s="10"/>
    </row>
    <row r="76" spans="4:4">
      <c r="D76" s="10"/>
    </row>
    <row r="77" spans="4:4">
      <c r="D77" s="10"/>
    </row>
    <row r="78" spans="4:4">
      <c r="D78" s="10"/>
    </row>
    <row r="79" spans="4:4">
      <c r="D79" s="10"/>
    </row>
    <row r="80" spans="4:4">
      <c r="D80" s="10"/>
    </row>
    <row r="81" spans="4:4">
      <c r="D81" s="10"/>
    </row>
    <row r="82" spans="4:4">
      <c r="D82" s="10"/>
    </row>
    <row r="83" spans="4:4">
      <c r="D83" s="10"/>
    </row>
    <row r="84" spans="4:4">
      <c r="D84" s="10"/>
    </row>
    <row r="85" spans="4:4">
      <c r="D85" s="10"/>
    </row>
    <row r="86" spans="4:4">
      <c r="D86" s="10"/>
    </row>
    <row r="87" spans="4:4">
      <c r="D87" s="10"/>
    </row>
    <row r="88" spans="4:4">
      <c r="D88" s="10"/>
    </row>
    <row r="89" spans="4:4">
      <c r="D89" s="10"/>
    </row>
    <row r="90" spans="4:4">
      <c r="D90" s="10"/>
    </row>
    <row r="91" spans="4:4">
      <c r="D91" s="10"/>
    </row>
    <row r="92" spans="4:4">
      <c r="D92" s="10"/>
    </row>
    <row r="93" spans="4:4">
      <c r="D93" s="10"/>
    </row>
    <row r="94" spans="4:4">
      <c r="D94" s="10"/>
    </row>
    <row r="95" spans="4:4">
      <c r="D95" s="10"/>
    </row>
    <row r="96" spans="4:4">
      <c r="D96" s="10"/>
    </row>
    <row r="97" spans="4:4">
      <c r="D97" s="10"/>
    </row>
    <row r="98" spans="4:4">
      <c r="D98" s="10"/>
    </row>
    <row r="99" spans="4:4">
      <c r="D99" s="10"/>
    </row>
    <row r="100" spans="4:4">
      <c r="D100" s="10"/>
    </row>
    <row r="101" spans="4:4">
      <c r="D101" s="10"/>
    </row>
    <row r="102" spans="4:4">
      <c r="D102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158</v>
      </c>
      <c r="L1" s="28" t="s">
        <v>659</v>
      </c>
      <c r="M1" s="28" t="s">
        <v>1</v>
      </c>
      <c r="N1" s="35" t="s">
        <v>123</v>
      </c>
      <c r="O1" s="28" t="s">
        <v>124</v>
      </c>
      <c r="P1" s="36" t="s">
        <v>125</v>
      </c>
      <c r="Q1" s="37" t="s">
        <v>126</v>
      </c>
      <c r="R1" s="38" t="s">
        <v>127</v>
      </c>
      <c r="S1" s="39" t="s">
        <v>128</v>
      </c>
      <c r="T1" s="40" t="s">
        <v>129</v>
      </c>
      <c r="U1" s="41" t="s">
        <v>130</v>
      </c>
      <c r="V1" s="42" t="s">
        <v>131</v>
      </c>
      <c r="W1" s="31" t="s">
        <v>159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160</v>
      </c>
      <c r="AF1" s="14" t="s">
        <v>161</v>
      </c>
      <c r="AG1" s="14" t="s">
        <v>162</v>
      </c>
      <c r="AH1" s="33" t="s">
        <v>163</v>
      </c>
      <c r="AI1" s="32" t="s">
        <v>164</v>
      </c>
    </row>
    <row r="2" spans="1:35">
      <c r="A2" s="65" t="s">
        <v>637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3" t="s">
        <v>668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132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5" t="s">
        <v>633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3" t="s">
        <v>664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133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5" t="s">
        <v>634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3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134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5" t="s">
        <v>636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3" t="s">
        <v>665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135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5" t="s">
        <v>635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3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136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4" t="s">
        <v>638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3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155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4" t="s">
        <v>639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3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155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4" t="s">
        <v>640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3" t="s">
        <v>667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155</v>
      </c>
      <c r="X9" s="27" t="s">
        <v>137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4" t="s">
        <v>641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3" t="s">
        <v>666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155</v>
      </c>
      <c r="X10" s="46" t="s">
        <v>147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4" t="s">
        <v>642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3" t="s">
        <v>620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155</v>
      </c>
      <c r="X11" s="26" t="s">
        <v>146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5" t="s">
        <v>643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148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5" t="s">
        <v>644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3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149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5" t="s">
        <v>645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150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5" t="s">
        <v>646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151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5" t="s">
        <v>647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152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4" t="s">
        <v>648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155</v>
      </c>
      <c r="X17" s="27" t="s">
        <v>153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4" t="s">
        <v>649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668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155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4" t="s">
        <v>650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155</v>
      </c>
    </row>
    <row r="20" spans="1:35">
      <c r="A20" s="64" t="s">
        <v>621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155</v>
      </c>
    </row>
    <row r="21" spans="1:35">
      <c r="A21" s="64" t="s">
        <v>622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155</v>
      </c>
    </row>
    <row r="22" spans="1:35">
      <c r="A22" s="49" t="s">
        <v>651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156</v>
      </c>
    </row>
    <row r="23" spans="1:35">
      <c r="A23" s="49" t="s">
        <v>653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156</v>
      </c>
    </row>
    <row r="24" spans="1:35">
      <c r="A24" s="49" t="s">
        <v>655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156</v>
      </c>
    </row>
    <row r="25" spans="1:35">
      <c r="A25" s="49" t="s">
        <v>658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156</v>
      </c>
    </row>
    <row r="26" spans="1:35">
      <c r="A26" s="49" t="s">
        <v>663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664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156</v>
      </c>
    </row>
    <row r="27" spans="1:35">
      <c r="A27" s="49" t="s">
        <v>767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156</v>
      </c>
    </row>
    <row r="28" spans="1:35">
      <c r="A28" s="49" t="s">
        <v>652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156</v>
      </c>
    </row>
    <row r="29" spans="1:35">
      <c r="A29" s="49" t="s">
        <v>654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156</v>
      </c>
    </row>
    <row r="30" spans="1:35">
      <c r="A30" s="49" t="s">
        <v>656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156</v>
      </c>
    </row>
    <row r="31" spans="1:35">
      <c r="A31" s="49" t="s">
        <v>657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156</v>
      </c>
    </row>
    <row r="32" spans="1:35">
      <c r="A32" s="49" t="s">
        <v>662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156</v>
      </c>
    </row>
    <row r="33" spans="1:23">
      <c r="A33" s="49" t="s">
        <v>768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156</v>
      </c>
    </row>
    <row r="34" spans="1:23">
      <c r="A34" s="68" t="s">
        <v>786</v>
      </c>
      <c r="B34" s="17" t="s">
        <v>97</v>
      </c>
      <c r="C34" s="17" t="s">
        <v>91</v>
      </c>
      <c r="D34" s="18">
        <v>10</v>
      </c>
      <c r="E34" s="18" t="s">
        <v>788</v>
      </c>
      <c r="F34" s="18">
        <v>500</v>
      </c>
      <c r="G34" s="18">
        <v>20</v>
      </c>
      <c r="H34" s="18" t="s">
        <v>668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769</v>
      </c>
    </row>
    <row r="35" spans="1:23">
      <c r="A35" s="68" t="s">
        <v>790</v>
      </c>
      <c r="B35" s="17" t="s">
        <v>97</v>
      </c>
      <c r="C35" s="17" t="s">
        <v>91</v>
      </c>
      <c r="D35" s="18">
        <v>20</v>
      </c>
      <c r="E35" s="18" t="s">
        <v>791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769</v>
      </c>
    </row>
    <row r="36" spans="1:23">
      <c r="A36" s="68" t="s">
        <v>794</v>
      </c>
      <c r="B36" s="17" t="s">
        <v>97</v>
      </c>
      <c r="C36" s="17" t="s">
        <v>91</v>
      </c>
      <c r="D36" s="18">
        <v>20</v>
      </c>
      <c r="E36" s="18" t="s">
        <v>664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769</v>
      </c>
    </row>
    <row r="37" spans="1:23">
      <c r="A37" s="68" t="s">
        <v>797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664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769</v>
      </c>
    </row>
    <row r="38" spans="1:23">
      <c r="A38" s="68" t="s">
        <v>798</v>
      </c>
      <c r="B38" s="17" t="s">
        <v>97</v>
      </c>
      <c r="C38" s="17" t="s">
        <v>91</v>
      </c>
      <c r="D38" s="18">
        <v>0</v>
      </c>
      <c r="E38" s="18" t="s">
        <v>801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769</v>
      </c>
    </row>
    <row r="39" spans="1:23">
      <c r="A39" s="68" t="s">
        <v>802</v>
      </c>
      <c r="B39" s="17" t="s">
        <v>97</v>
      </c>
      <c r="C39" s="17" t="s">
        <v>91</v>
      </c>
      <c r="D39" s="18">
        <v>10</v>
      </c>
      <c r="E39" s="18" t="s">
        <v>804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769</v>
      </c>
    </row>
    <row r="40" spans="1:23">
      <c r="A40" s="68" t="s">
        <v>787</v>
      </c>
      <c r="B40" s="17" t="s">
        <v>93</v>
      </c>
      <c r="C40" s="17" t="s">
        <v>91</v>
      </c>
      <c r="D40" s="18">
        <v>30</v>
      </c>
      <c r="E40" s="18" t="s">
        <v>788</v>
      </c>
      <c r="F40" s="18">
        <v>100</v>
      </c>
      <c r="G40" s="18">
        <v>30</v>
      </c>
      <c r="H40" s="18" t="s">
        <v>668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769</v>
      </c>
    </row>
    <row r="41" spans="1:23">
      <c r="A41" s="68" t="s">
        <v>789</v>
      </c>
      <c r="B41" s="17" t="s">
        <v>93</v>
      </c>
      <c r="C41" s="17" t="s">
        <v>91</v>
      </c>
      <c r="D41" s="18">
        <v>50</v>
      </c>
      <c r="E41" s="18" t="s">
        <v>792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769</v>
      </c>
    </row>
    <row r="42" spans="1:23">
      <c r="A42" s="68" t="s">
        <v>793</v>
      </c>
      <c r="B42" s="17" t="s">
        <v>93</v>
      </c>
      <c r="C42" s="17" t="s">
        <v>91</v>
      </c>
      <c r="D42" s="18">
        <v>20</v>
      </c>
      <c r="E42" s="18" t="s">
        <v>795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769</v>
      </c>
    </row>
    <row r="43" spans="1:23">
      <c r="A43" s="68" t="s">
        <v>796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3" t="s">
        <v>620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769</v>
      </c>
    </row>
    <row r="44" spans="1:23">
      <c r="A44" s="68" t="s">
        <v>799</v>
      </c>
      <c r="B44" s="17" t="s">
        <v>93</v>
      </c>
      <c r="C44" s="17" t="s">
        <v>91</v>
      </c>
      <c r="D44" s="18">
        <v>0</v>
      </c>
      <c r="E44" s="18" t="s">
        <v>800</v>
      </c>
      <c r="F44" s="18">
        <v>0</v>
      </c>
      <c r="G44" s="18">
        <v>10</v>
      </c>
      <c r="H44" s="18" t="s">
        <v>668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769</v>
      </c>
    </row>
    <row r="45" spans="1:23">
      <c r="A45" s="68" t="s">
        <v>803</v>
      </c>
      <c r="B45" s="17" t="s">
        <v>93</v>
      </c>
      <c r="C45" s="17" t="s">
        <v>91</v>
      </c>
      <c r="D45" s="18">
        <v>10</v>
      </c>
      <c r="E45" s="18" t="s">
        <v>805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769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165</v>
      </c>
      <c r="B49" s="17" t="s">
        <v>97</v>
      </c>
      <c r="C49" s="17" t="s">
        <v>91</v>
      </c>
      <c r="D49" s="18">
        <f t="shared" ref="D49:D87" si="11">ARMOR_DEFENSE(C49,L49,M49,1)</f>
        <v>8</v>
      </c>
      <c r="E49" s="18" t="str">
        <f t="shared" ref="E49:E87" si="12">ARMOR_RESIST(C49,L49,M49,N49,O49,P49,Q49,R49,S49,T49,U49,V49,1)</f>
        <v>0.144,0.029,0.115,0,0,0,0,0,0</v>
      </c>
      <c r="F49" s="18">
        <f t="shared" ref="F49:F87" si="13">ARMOR_HP(C49,L49,M49)</f>
        <v>5</v>
      </c>
      <c r="G49" s="18">
        <f t="shared" ref="G49:G87" si="14">ARMOR_SP(C49,L49,M49)</f>
        <v>3</v>
      </c>
      <c r="H49" s="18" t="str">
        <f t="shared" ref="H49:H87" si="15">ARMOR_SPEED(C49,L49,M49)</f>
        <v>0.7</v>
      </c>
      <c r="I49" s="17">
        <f t="shared" ref="I49:I82" si="16">M49*M49*100+F49*3+G49*5+D49*50</f>
        <v>1330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166</v>
      </c>
      <c r="B50" s="17" t="s">
        <v>97</v>
      </c>
      <c r="C50" s="17" t="s">
        <v>91</v>
      </c>
      <c r="D50" s="18">
        <f t="shared" si="11"/>
        <v>11</v>
      </c>
      <c r="E50" s="18" t="str">
        <f t="shared" si="12"/>
        <v>0.194,0.032,0.097,0,0,0,-0.1,0,0.2</v>
      </c>
      <c r="F50" s="18">
        <f t="shared" si="13"/>
        <v>7</v>
      </c>
      <c r="G50" s="18">
        <f t="shared" si="14"/>
        <v>4</v>
      </c>
      <c r="H50" s="18" t="str">
        <f t="shared" si="15"/>
        <v>0.8</v>
      </c>
      <c r="I50" s="17">
        <f t="shared" si="16"/>
        <v>2191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167</v>
      </c>
      <c r="B51" s="17" t="s">
        <v>97</v>
      </c>
      <c r="C51" s="17" t="s">
        <v>91</v>
      </c>
      <c r="D51" s="18">
        <f t="shared" si="11"/>
        <v>14</v>
      </c>
      <c r="E51" s="18" t="str">
        <f t="shared" si="12"/>
        <v>0.144,0.072,0.144,0,0,0,-0.2,0.1,0.3</v>
      </c>
      <c r="F51" s="18">
        <f t="shared" si="13"/>
        <v>9</v>
      </c>
      <c r="G51" s="18">
        <f t="shared" si="14"/>
        <v>5</v>
      </c>
      <c r="H51" s="18" t="str">
        <f t="shared" si="15"/>
        <v>0.9</v>
      </c>
      <c r="I51" s="17">
        <f t="shared" si="16"/>
        <v>3252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168</v>
      </c>
      <c r="B52" s="17" t="s">
        <v>97</v>
      </c>
      <c r="C52" s="17" t="s">
        <v>91</v>
      </c>
      <c r="D52" s="18">
        <f t="shared" si="11"/>
        <v>16</v>
      </c>
      <c r="E52" s="18" t="str">
        <f t="shared" si="12"/>
        <v>0.158,0.119,0.119,0,0,0,-0.3,0.3,0.3</v>
      </c>
      <c r="F52" s="18">
        <f t="shared" si="13"/>
        <v>11</v>
      </c>
      <c r="G52" s="18">
        <f t="shared" si="14"/>
        <v>6</v>
      </c>
      <c r="H52" s="18" t="str">
        <f t="shared" si="15"/>
        <v>1</v>
      </c>
      <c r="I52" s="17">
        <f t="shared" si="16"/>
        <v>4463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169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0.051,0.034,0.086,0,0.1,0.1,0,0,0</v>
      </c>
      <c r="F53" s="18">
        <f t="shared" si="13"/>
        <v>1</v>
      </c>
      <c r="G53" s="18">
        <f t="shared" si="14"/>
        <v>4</v>
      </c>
      <c r="H53" s="18" t="str">
        <f t="shared" si="15"/>
        <v>0.15</v>
      </c>
      <c r="I53" s="17">
        <f t="shared" si="16"/>
        <v>123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170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0.083,0.021,0.104,0,0.1,0,0,0,0</v>
      </c>
      <c r="F54" s="18">
        <f t="shared" si="13"/>
        <v>2</v>
      </c>
      <c r="G54" s="18">
        <f t="shared" si="14"/>
        <v>7</v>
      </c>
      <c r="H54" s="18" t="str">
        <f t="shared" si="15"/>
        <v>0.18</v>
      </c>
      <c r="I54" s="17">
        <f t="shared" si="16"/>
        <v>441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171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0.073,0.097,0.073,0,0.1,0,0,0,0</v>
      </c>
      <c r="F55" s="18">
        <f t="shared" si="13"/>
        <v>3</v>
      </c>
      <c r="G55" s="18">
        <f t="shared" si="14"/>
        <v>10</v>
      </c>
      <c r="H55" s="18" t="str">
        <f t="shared" si="15"/>
        <v>0.21</v>
      </c>
      <c r="I55" s="17">
        <f t="shared" si="16"/>
        <v>959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172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0.084,0.084,0.112,0.1,0.1,0.1,-0.2,-0.3,0.5</v>
      </c>
      <c r="F56" s="18">
        <f t="shared" si="13"/>
        <v>4</v>
      </c>
      <c r="G56" s="18">
        <f t="shared" si="14"/>
        <v>13</v>
      </c>
      <c r="H56" s="18" t="str">
        <f t="shared" si="15"/>
        <v>0.24</v>
      </c>
      <c r="I56" s="17">
        <f t="shared" si="16"/>
        <v>1677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173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0.11,0.11,0.095,0.2,0,0,-0.1,0.1,0</v>
      </c>
      <c r="F57" s="18">
        <f t="shared" si="13"/>
        <v>5</v>
      </c>
      <c r="G57" s="18">
        <f t="shared" si="14"/>
        <v>15</v>
      </c>
      <c r="H57" s="18" t="str">
        <f t="shared" si="15"/>
        <v>0.27</v>
      </c>
      <c r="I57" s="17">
        <f t="shared" si="16"/>
        <v>2590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174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0.14,0.105,0.105,0.2,0.2,0.2,-0.2,0.1,-0.3</v>
      </c>
      <c r="F58" s="18">
        <f t="shared" si="13"/>
        <v>6</v>
      </c>
      <c r="G58" s="18">
        <f t="shared" si="14"/>
        <v>18</v>
      </c>
      <c r="H58" s="18" t="str">
        <f t="shared" si="15"/>
        <v>0.3</v>
      </c>
      <c r="I58" s="17">
        <f t="shared" si="16"/>
        <v>3708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175</v>
      </c>
      <c r="B59" s="17" t="s">
        <v>97</v>
      </c>
      <c r="C59" s="17" t="s">
        <v>91</v>
      </c>
      <c r="D59" s="18">
        <f t="shared" si="11"/>
        <v>3</v>
      </c>
      <c r="E59" s="18" t="str">
        <f t="shared" si="12"/>
        <v>0.115,0.086,0.086,0.1,0,0,0,0,0</v>
      </c>
      <c r="F59" s="18">
        <f t="shared" si="13"/>
        <v>2</v>
      </c>
      <c r="G59" s="18">
        <f t="shared" si="14"/>
        <v>1</v>
      </c>
      <c r="H59" s="18" t="str">
        <f t="shared" si="15"/>
        <v>0.5</v>
      </c>
      <c r="I59" s="17">
        <f t="shared" si="16"/>
        <v>261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176</v>
      </c>
      <c r="B60" s="17" t="s">
        <v>97</v>
      </c>
      <c r="C60" s="17" t="s">
        <v>91</v>
      </c>
      <c r="D60" s="18">
        <f t="shared" si="11"/>
        <v>7</v>
      </c>
      <c r="E60" s="18" t="str">
        <f t="shared" si="12"/>
        <v>0.168,0.067,0.101,0.1,0,0,0,-0.1,0.1</v>
      </c>
      <c r="F60" s="18">
        <f t="shared" si="13"/>
        <v>4</v>
      </c>
      <c r="G60" s="18">
        <f t="shared" si="14"/>
        <v>2</v>
      </c>
      <c r="H60" s="18" t="str">
        <f t="shared" si="15"/>
        <v>0.6</v>
      </c>
      <c r="I60" s="17">
        <f t="shared" si="16"/>
        <v>772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177</v>
      </c>
      <c r="B61" s="17" t="s">
        <v>97</v>
      </c>
      <c r="C61" s="17" t="s">
        <v>91</v>
      </c>
      <c r="D61" s="18">
        <f t="shared" si="11"/>
        <v>10</v>
      </c>
      <c r="E61" s="18" t="str">
        <f t="shared" si="12"/>
        <v>0.192,0.077,0.115,0,0,-0.1,0,0,0.2</v>
      </c>
      <c r="F61" s="18">
        <f t="shared" si="13"/>
        <v>7</v>
      </c>
      <c r="G61" s="18">
        <f t="shared" si="14"/>
        <v>3</v>
      </c>
      <c r="H61" s="18" t="str">
        <f t="shared" si="15"/>
        <v>0.7</v>
      </c>
      <c r="I61" s="17">
        <f t="shared" si="16"/>
        <v>1436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178</v>
      </c>
      <c r="B62" s="17" t="s">
        <v>97</v>
      </c>
      <c r="C62" s="17" t="s">
        <v>91</v>
      </c>
      <c r="D62" s="18">
        <f t="shared" si="11"/>
        <v>13</v>
      </c>
      <c r="E62" s="18" t="str">
        <f t="shared" si="12"/>
        <v>0.216,0.086,0.13,0,0,-0.1,0,-0.1,0.3</v>
      </c>
      <c r="F62" s="18">
        <f t="shared" si="13"/>
        <v>9</v>
      </c>
      <c r="G62" s="18">
        <f t="shared" si="14"/>
        <v>4</v>
      </c>
      <c r="H62" s="18" t="str">
        <f t="shared" si="15"/>
        <v>0.8</v>
      </c>
      <c r="I62" s="17">
        <f t="shared" si="16"/>
        <v>2297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479</v>
      </c>
      <c r="B63" s="17" t="s">
        <v>97</v>
      </c>
      <c r="C63" s="17" t="s">
        <v>91</v>
      </c>
      <c r="D63" s="18">
        <f t="shared" si="11"/>
        <v>16</v>
      </c>
      <c r="E63" s="18" t="str">
        <f t="shared" si="12"/>
        <v>0.288,0.096,0.096,0.1,0,-0.2,0,-0.2,0.4</v>
      </c>
      <c r="F63" s="18">
        <f t="shared" si="13"/>
        <v>11</v>
      </c>
      <c r="G63" s="18">
        <f t="shared" si="14"/>
        <v>5</v>
      </c>
      <c r="H63" s="18" t="str">
        <f t="shared" si="15"/>
        <v>0.9</v>
      </c>
      <c r="I63" s="17">
        <f t="shared" si="16"/>
        <v>3358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179</v>
      </c>
      <c r="B64" s="17" t="s">
        <v>97</v>
      </c>
      <c r="C64" s="17" t="s">
        <v>91</v>
      </c>
      <c r="D64" s="18">
        <f t="shared" si="11"/>
        <v>20</v>
      </c>
      <c r="E64" s="18" t="str">
        <f t="shared" si="12"/>
        <v>0.317,0.053,0.158,0.3,0,-0.1,-0.1,-0.1,0.4</v>
      </c>
      <c r="F64" s="18">
        <f t="shared" si="13"/>
        <v>13</v>
      </c>
      <c r="G64" s="18">
        <f t="shared" si="14"/>
        <v>6</v>
      </c>
      <c r="H64" s="18" t="str">
        <f t="shared" si="15"/>
        <v>1</v>
      </c>
      <c r="I64" s="17">
        <f t="shared" si="16"/>
        <v>4669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183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0.068,0.114,0.046,0.1,0,0,0,0,0</v>
      </c>
      <c r="F65" s="18">
        <f t="shared" si="13"/>
        <v>1</v>
      </c>
      <c r="G65" s="18">
        <f t="shared" si="14"/>
        <v>3</v>
      </c>
      <c r="H65" s="18" t="str">
        <f t="shared" si="15"/>
        <v>-0.5</v>
      </c>
      <c r="I65" s="17">
        <f t="shared" si="16"/>
        <v>118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184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0.11,0.083,0.083,0.1,0,0,0,0,0.1</v>
      </c>
      <c r="F66" s="18">
        <f t="shared" si="13"/>
        <v>2</v>
      </c>
      <c r="G66" s="18">
        <f t="shared" si="14"/>
        <v>4</v>
      </c>
      <c r="H66" s="18" t="str">
        <f t="shared" si="15"/>
        <v>-0.6</v>
      </c>
      <c r="I66" s="17">
        <f t="shared" si="16"/>
        <v>426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182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0.032,0.13,0.162,0,0,0,0,0,0.2</v>
      </c>
      <c r="F67" s="18">
        <f t="shared" si="13"/>
        <v>3</v>
      </c>
      <c r="G67" s="18">
        <f t="shared" si="14"/>
        <v>6</v>
      </c>
      <c r="H67" s="18" t="str">
        <f t="shared" si="15"/>
        <v>-0.7</v>
      </c>
      <c r="I67" s="17">
        <f t="shared" si="16"/>
        <v>939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180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0.074,0.149,0.149,0,0.1,0,0.1,-0.1,0.2</v>
      </c>
      <c r="F68" s="18">
        <f t="shared" si="13"/>
        <v>4</v>
      </c>
      <c r="G68" s="18">
        <f t="shared" si="14"/>
        <v>8</v>
      </c>
      <c r="H68" s="18" t="str">
        <f t="shared" si="15"/>
        <v>-0.8</v>
      </c>
      <c r="I68" s="17">
        <f t="shared" si="16"/>
        <v>1652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181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0.168,0.084,0.168,0,0.1,0.1,0.1,-0.2,0.2</v>
      </c>
      <c r="F69" s="18">
        <f t="shared" si="13"/>
        <v>5</v>
      </c>
      <c r="G69" s="18">
        <f t="shared" si="14"/>
        <v>10</v>
      </c>
      <c r="H69" s="18" t="str">
        <f t="shared" si="15"/>
        <v>-0.9</v>
      </c>
      <c r="I69" s="17">
        <f t="shared" si="16"/>
        <v>2565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249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0.14,0.187,0.14,0.1,0.1,0.1,0.2,-0.2,0.3</v>
      </c>
      <c r="F70" s="18">
        <f t="shared" si="13"/>
        <v>6</v>
      </c>
      <c r="G70" s="18">
        <f t="shared" si="14"/>
        <v>12</v>
      </c>
      <c r="H70" s="18" t="str">
        <f t="shared" si="15"/>
        <v>-1</v>
      </c>
      <c r="I70" s="17">
        <f t="shared" si="16"/>
        <v>3678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190</v>
      </c>
      <c r="B71" s="17" t="s">
        <v>97</v>
      </c>
      <c r="C71" s="17" t="s">
        <v>91</v>
      </c>
      <c r="D71" s="18">
        <f t="shared" si="11"/>
        <v>4</v>
      </c>
      <c r="E71" s="18" t="str">
        <f t="shared" si="12"/>
        <v>0.132,0.053,0.079,0,0.05,0,0,0,0</v>
      </c>
      <c r="F71" s="18">
        <f t="shared" si="13"/>
        <v>2</v>
      </c>
      <c r="G71" s="18">
        <f t="shared" si="14"/>
        <v>1</v>
      </c>
      <c r="H71" s="18" t="str">
        <f t="shared" si="15"/>
        <v>0.5</v>
      </c>
      <c r="I71" s="17">
        <f t="shared" si="16"/>
        <v>311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185</v>
      </c>
      <c r="B72" s="17" t="s">
        <v>97</v>
      </c>
      <c r="C72" s="17" t="s">
        <v>91</v>
      </c>
      <c r="D72" s="18">
        <f t="shared" si="11"/>
        <v>7</v>
      </c>
      <c r="E72" s="18" t="str">
        <f t="shared" si="12"/>
        <v>0.154,0.092,0.062,-0.1,0.15,0,0,0,0</v>
      </c>
      <c r="F72" s="18">
        <f t="shared" si="13"/>
        <v>5</v>
      </c>
      <c r="G72" s="18">
        <f t="shared" si="14"/>
        <v>2</v>
      </c>
      <c r="H72" s="18" t="str">
        <f t="shared" si="15"/>
        <v>0.6</v>
      </c>
      <c r="I72" s="17">
        <f t="shared" si="16"/>
        <v>775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186</v>
      </c>
      <c r="B73" s="17" t="s">
        <v>97</v>
      </c>
      <c r="C73" s="17" t="s">
        <v>91</v>
      </c>
      <c r="D73" s="18">
        <f t="shared" si="11"/>
        <v>11</v>
      </c>
      <c r="E73" s="18" t="str">
        <f t="shared" si="12"/>
        <v>0.176,0.141,0.035,0,0.2,-0.2,0,0,0</v>
      </c>
      <c r="F73" s="18">
        <f t="shared" si="13"/>
        <v>7</v>
      </c>
      <c r="G73" s="18">
        <f t="shared" si="14"/>
        <v>3</v>
      </c>
      <c r="H73" s="18" t="str">
        <f t="shared" si="15"/>
        <v>0.7</v>
      </c>
      <c r="I73" s="17">
        <f t="shared" si="16"/>
        <v>1486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187</v>
      </c>
      <c r="B74" s="17" t="s">
        <v>97</v>
      </c>
      <c r="C74" s="17" t="s">
        <v>91</v>
      </c>
      <c r="D74" s="18">
        <f t="shared" si="11"/>
        <v>14</v>
      </c>
      <c r="E74" s="18" t="str">
        <f t="shared" si="12"/>
        <v>0.158,0.079,0.158,-0.1,0.3,-0.1,0,0,0</v>
      </c>
      <c r="F74" s="18">
        <f t="shared" si="13"/>
        <v>10</v>
      </c>
      <c r="G74" s="18">
        <f t="shared" si="14"/>
        <v>4</v>
      </c>
      <c r="H74" s="18" t="str">
        <f t="shared" si="15"/>
        <v>0.8</v>
      </c>
      <c r="I74" s="17">
        <f t="shared" si="16"/>
        <v>2350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188</v>
      </c>
      <c r="B75" s="17" t="s">
        <v>97</v>
      </c>
      <c r="C75" s="17" t="s">
        <v>91</v>
      </c>
      <c r="D75" s="18">
        <f t="shared" si="11"/>
        <v>18</v>
      </c>
      <c r="E75" s="18" t="str">
        <f t="shared" si="12"/>
        <v>0.264,0.088,0.088,-0.2,0.2,0,0.2,0,0</v>
      </c>
      <c r="F75" s="18">
        <f t="shared" si="13"/>
        <v>12</v>
      </c>
      <c r="G75" s="18">
        <f t="shared" si="14"/>
        <v>5</v>
      </c>
      <c r="H75" s="18" t="str">
        <f t="shared" si="15"/>
        <v>0.9</v>
      </c>
      <c r="I75" s="17">
        <f t="shared" si="16"/>
        <v>3461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189</v>
      </c>
      <c r="B76" s="17" t="s">
        <v>97</v>
      </c>
      <c r="C76" s="17" t="s">
        <v>91</v>
      </c>
      <c r="D76" s="18">
        <f t="shared" si="11"/>
        <v>22</v>
      </c>
      <c r="E76" s="18" t="str">
        <f t="shared" si="12"/>
        <v>0.242,0.145,0.097,-0.2,0.2,0,0.2,0.3,-0.3</v>
      </c>
      <c r="F76" s="18">
        <f t="shared" si="13"/>
        <v>14</v>
      </c>
      <c r="G76" s="18">
        <f t="shared" si="14"/>
        <v>6</v>
      </c>
      <c r="H76" s="18" t="str">
        <f t="shared" si="15"/>
        <v>1</v>
      </c>
      <c r="I76" s="17">
        <f t="shared" si="16"/>
        <v>4772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191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0.063,0.105,0.042,0,0.2,0,0,0,0</v>
      </c>
      <c r="F77" s="18">
        <f t="shared" si="13"/>
        <v>1</v>
      </c>
      <c r="G77" s="18">
        <f t="shared" si="14"/>
        <v>2</v>
      </c>
      <c r="H77" s="18" t="str">
        <f t="shared" si="15"/>
        <v>-0.6</v>
      </c>
      <c r="I77" s="17">
        <f t="shared" si="16"/>
        <v>113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301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0.101,0.101,0.051,0,0.2,0,0,0,0</v>
      </c>
      <c r="F78" s="18">
        <f t="shared" si="13"/>
        <v>2</v>
      </c>
      <c r="G78" s="18">
        <f t="shared" si="14"/>
        <v>3</v>
      </c>
      <c r="H78" s="18" t="str">
        <f t="shared" si="15"/>
        <v>-0.72</v>
      </c>
      <c r="I78" s="17">
        <f t="shared" si="16"/>
        <v>421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192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0.059,0.148,0.089,-0.1,0.2,0,0,0,0</v>
      </c>
      <c r="F79" s="18">
        <f t="shared" si="13"/>
        <v>3</v>
      </c>
      <c r="G79" s="18">
        <f t="shared" si="14"/>
        <v>4</v>
      </c>
      <c r="H79" s="18" t="str">
        <f t="shared" si="15"/>
        <v>-0.84</v>
      </c>
      <c r="I79" s="17">
        <f t="shared" si="16"/>
        <v>929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193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0.102,0.17,0.068,-0.2,0.3,0,0,0,0</v>
      </c>
      <c r="F80" s="18">
        <f t="shared" si="13"/>
        <v>4</v>
      </c>
      <c r="G80" s="18">
        <f t="shared" si="14"/>
        <v>5</v>
      </c>
      <c r="H80" s="18" t="str">
        <f t="shared" si="15"/>
        <v>-0.96</v>
      </c>
      <c r="I80" s="17">
        <f t="shared" si="16"/>
        <v>1637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194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0.154,0.116,0.116,-0.3,0.5,0,0,-0.1,0</v>
      </c>
      <c r="F81" s="18">
        <f t="shared" si="13"/>
        <v>5</v>
      </c>
      <c r="G81" s="18">
        <f t="shared" si="14"/>
        <v>7</v>
      </c>
      <c r="H81" s="18" t="str">
        <f t="shared" si="15"/>
        <v>-1.08</v>
      </c>
      <c r="I81" s="17">
        <f t="shared" si="16"/>
        <v>2550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195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0.172,0.172,0.086,-0.6,0.8,0,0,-0.1,0</v>
      </c>
      <c r="F82" s="18">
        <f t="shared" si="13"/>
        <v>6</v>
      </c>
      <c r="G82" s="18">
        <f t="shared" si="14"/>
        <v>8</v>
      </c>
      <c r="H82" s="18" t="str">
        <f t="shared" si="15"/>
        <v>-1.2</v>
      </c>
      <c r="I82" s="17">
        <f t="shared" si="16"/>
        <v>3658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196</v>
      </c>
      <c r="B83" s="17" t="s">
        <v>93</v>
      </c>
      <c r="C83" s="17" t="s">
        <v>91</v>
      </c>
      <c r="D83" s="18">
        <f t="shared" si="11"/>
        <v>3</v>
      </c>
      <c r="E83" s="18" t="str">
        <f t="shared" si="12"/>
        <v>0.036,0.036,0.048,0,0,0,0,0,0</v>
      </c>
      <c r="F83" s="18">
        <f t="shared" si="13"/>
        <v>2</v>
      </c>
      <c r="G83" s="18">
        <f t="shared" si="14"/>
        <v>1</v>
      </c>
      <c r="H83" s="18" t="str">
        <f t="shared" si="15"/>
        <v>0.5</v>
      </c>
      <c r="I83" s="17">
        <f>M83*M83*60+F83*3+G83*5+D83*50</f>
        <v>221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197</v>
      </c>
      <c r="B84" s="17" t="s">
        <v>93</v>
      </c>
      <c r="C84" s="17" t="s">
        <v>91</v>
      </c>
      <c r="D84" s="18">
        <f t="shared" si="11"/>
        <v>6</v>
      </c>
      <c r="E84" s="18" t="str">
        <f t="shared" si="12"/>
        <v>0.042,0.042,0.056,0,0,0,0,0,0</v>
      </c>
      <c r="F84" s="18">
        <f t="shared" si="13"/>
        <v>4</v>
      </c>
      <c r="G84" s="18">
        <f t="shared" si="14"/>
        <v>2</v>
      </c>
      <c r="H84" s="18" t="str">
        <f t="shared" si="15"/>
        <v>0.6</v>
      </c>
      <c r="I84" s="17">
        <f t="shared" ref="I84:I147" si="18">M84*M84*60+F84*3+G84*5+D84*50</f>
        <v>562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198</v>
      </c>
      <c r="B85" s="17" t="s">
        <v>93</v>
      </c>
      <c r="C85" s="17" t="s">
        <v>91</v>
      </c>
      <c r="D85" s="18">
        <f t="shared" si="11"/>
        <v>9</v>
      </c>
      <c r="E85" s="18" t="str">
        <f t="shared" si="12"/>
        <v>0.048,0.048,0.064,0,0,0,0,0,0</v>
      </c>
      <c r="F85" s="18">
        <f t="shared" si="13"/>
        <v>6</v>
      </c>
      <c r="G85" s="18">
        <f t="shared" si="14"/>
        <v>3</v>
      </c>
      <c r="H85" s="18" t="str">
        <f t="shared" si="15"/>
        <v>0.7</v>
      </c>
      <c r="I85" s="17">
        <f t="shared" si="18"/>
        <v>1023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199</v>
      </c>
      <c r="B86" s="17" t="s">
        <v>93</v>
      </c>
      <c r="C86" s="17" t="s">
        <v>91</v>
      </c>
      <c r="D86" s="18">
        <f t="shared" si="11"/>
        <v>12</v>
      </c>
      <c r="E86" s="18" t="str">
        <f t="shared" si="12"/>
        <v>0.054,0.054,0.072,0,0,0,0,0,0</v>
      </c>
      <c r="F86" s="18">
        <f t="shared" si="13"/>
        <v>8</v>
      </c>
      <c r="G86" s="18">
        <f t="shared" si="14"/>
        <v>4</v>
      </c>
      <c r="H86" s="18" t="str">
        <f t="shared" si="15"/>
        <v>0.8</v>
      </c>
      <c r="I86" s="17">
        <f t="shared" si="18"/>
        <v>1604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201</v>
      </c>
      <c r="B87" s="17" t="s">
        <v>93</v>
      </c>
      <c r="C87" s="17" t="s">
        <v>91</v>
      </c>
      <c r="D87" s="18">
        <f t="shared" si="11"/>
        <v>15</v>
      </c>
      <c r="E87" s="18" t="str">
        <f t="shared" si="12"/>
        <v>0.06,0.06,0.08,0,0,0,0,0,0</v>
      </c>
      <c r="F87" s="18">
        <f t="shared" si="13"/>
        <v>10</v>
      </c>
      <c r="G87" s="18">
        <f t="shared" si="14"/>
        <v>5</v>
      </c>
      <c r="H87" s="18" t="str">
        <f t="shared" si="15"/>
        <v>0.9</v>
      </c>
      <c r="I87" s="17">
        <f t="shared" si="18"/>
        <v>2305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200</v>
      </c>
      <c r="B88" s="17" t="s">
        <v>93</v>
      </c>
      <c r="C88" s="17" t="s">
        <v>91</v>
      </c>
      <c r="D88" s="18">
        <f t="shared" ref="D88:D151" si="23">ARMOR_DEFENSE(C88,L88,M88,1)</f>
        <v>18</v>
      </c>
      <c r="E88" s="18" t="str">
        <f t="shared" ref="E88:E151" si="24">ARMOR_RESIST(C88,L88,M88,N88,O88,P88,Q88,R88,S88,T88,U88,V88,1)</f>
        <v>0.11,0.044,0.066,0,0,0,0,0.2,-0.25</v>
      </c>
      <c r="F88" s="18">
        <f t="shared" ref="F88:F151" si="25">ARMOR_HP(C88,L88,M88)</f>
        <v>12</v>
      </c>
      <c r="G88" s="18">
        <f t="shared" ref="G88:G151" si="26">ARMOR_SP(C88,L88,M88)</f>
        <v>6</v>
      </c>
      <c r="H88" s="18" t="str">
        <f t="shared" ref="H88:H151" si="27">ARMOR_SPEED(C88,L88,M88)</f>
        <v>1</v>
      </c>
      <c r="I88" s="17">
        <f t="shared" si="18"/>
        <v>3126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202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0.019,0.019,0.057,0,0,0,0,0,0</v>
      </c>
      <c r="F89" s="18">
        <f t="shared" si="25"/>
        <v>1</v>
      </c>
      <c r="G89" s="18">
        <f t="shared" si="26"/>
        <v>4</v>
      </c>
      <c r="H89" s="18" t="str">
        <f t="shared" si="27"/>
        <v>-0.5</v>
      </c>
      <c r="I89" s="17">
        <f t="shared" si="18"/>
        <v>83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203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0.035,0.012,0.069,0,0,0,0.15,0,0</v>
      </c>
      <c r="F90" s="18">
        <f t="shared" si="25"/>
        <v>2</v>
      </c>
      <c r="G90" s="18">
        <f t="shared" si="26"/>
        <v>6</v>
      </c>
      <c r="H90" s="18" t="str">
        <f t="shared" si="27"/>
        <v>-0.6</v>
      </c>
      <c r="I90" s="17">
        <f t="shared" si="18"/>
        <v>276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204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0.041,0.041,0.054,0.05,0.05,0.05,0,0,0.05</v>
      </c>
      <c r="F91" s="18">
        <f t="shared" si="25"/>
        <v>3</v>
      </c>
      <c r="G91" s="18">
        <f t="shared" si="26"/>
        <v>8</v>
      </c>
      <c r="H91" s="18" t="str">
        <f t="shared" si="27"/>
        <v>-0.7</v>
      </c>
      <c r="I91" s="17">
        <f t="shared" si="18"/>
        <v>589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205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0.062,0.047,0.047,0,0,0,0,0.3,-0.2</v>
      </c>
      <c r="F92" s="18">
        <f t="shared" si="25"/>
        <v>4</v>
      </c>
      <c r="G92" s="18">
        <f t="shared" si="26"/>
        <v>11</v>
      </c>
      <c r="H92" s="18" t="str">
        <f t="shared" si="27"/>
        <v>-0.8</v>
      </c>
      <c r="I92" s="17">
        <f t="shared" si="18"/>
        <v>1027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206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0.053,0.035,0.087,0,0,0,0.15,0.2,-0.1</v>
      </c>
      <c r="F93" s="18">
        <f t="shared" si="25"/>
        <v>5</v>
      </c>
      <c r="G93" s="18">
        <f t="shared" si="26"/>
        <v>13</v>
      </c>
      <c r="H93" s="18" t="str">
        <f t="shared" si="27"/>
        <v>-0.9</v>
      </c>
      <c r="I93" s="17">
        <f t="shared" si="18"/>
        <v>1580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207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0.068,0.068,0.058,0.1,0.1,0.1,0,0.25,-0.5</v>
      </c>
      <c r="F94" s="18">
        <f t="shared" si="25"/>
        <v>6</v>
      </c>
      <c r="G94" s="18">
        <f t="shared" si="26"/>
        <v>16</v>
      </c>
      <c r="H94" s="18" t="str">
        <f t="shared" si="27"/>
        <v>-1</v>
      </c>
      <c r="I94" s="17">
        <f t="shared" si="18"/>
        <v>2258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211</v>
      </c>
      <c r="B95" s="17" t="s">
        <v>93</v>
      </c>
      <c r="C95" s="17" t="s">
        <v>91</v>
      </c>
      <c r="D95" s="18">
        <f t="shared" si="23"/>
        <v>2</v>
      </c>
      <c r="E95" s="18" t="str">
        <f t="shared" si="24"/>
        <v>0.029,0.048,0.019,0.05,0.025,0,0.1,0,0</v>
      </c>
      <c r="F95" s="18">
        <f t="shared" si="25"/>
        <v>2</v>
      </c>
      <c r="G95" s="18">
        <f t="shared" si="26"/>
        <v>1</v>
      </c>
      <c r="H95" s="18" t="str">
        <f t="shared" si="27"/>
        <v>0.5</v>
      </c>
      <c r="I95" s="17">
        <f t="shared" si="18"/>
        <v>171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210</v>
      </c>
      <c r="B96" s="17" t="s">
        <v>93</v>
      </c>
      <c r="C96" s="17" t="s">
        <v>91</v>
      </c>
      <c r="D96" s="18">
        <f t="shared" si="23"/>
        <v>5</v>
      </c>
      <c r="E96" s="18" t="str">
        <f t="shared" si="24"/>
        <v>0.022,0.056,0.034,0.05,0.05,0,0,0.1,0</v>
      </c>
      <c r="F96" s="18">
        <f t="shared" si="25"/>
        <v>3</v>
      </c>
      <c r="G96" s="18">
        <f t="shared" si="26"/>
        <v>2</v>
      </c>
      <c r="H96" s="18" t="str">
        <f t="shared" si="27"/>
        <v>0.6</v>
      </c>
      <c r="I96" s="17">
        <f t="shared" si="18"/>
        <v>509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208</v>
      </c>
      <c r="B97" s="17" t="s">
        <v>93</v>
      </c>
      <c r="C97" s="17" t="s">
        <v>91</v>
      </c>
      <c r="D97" s="18">
        <f t="shared" si="23"/>
        <v>7</v>
      </c>
      <c r="E97" s="18" t="str">
        <f t="shared" si="24"/>
        <v>0.013,0.051,0.064,0.05,-0.05,0,0.05,0,0</v>
      </c>
      <c r="F97" s="18">
        <f t="shared" si="25"/>
        <v>5</v>
      </c>
      <c r="G97" s="18">
        <f t="shared" si="26"/>
        <v>3</v>
      </c>
      <c r="H97" s="18" t="str">
        <f t="shared" si="27"/>
        <v>0.7</v>
      </c>
      <c r="I97" s="17">
        <f t="shared" si="18"/>
        <v>920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209</v>
      </c>
      <c r="B98" s="17" t="s">
        <v>93</v>
      </c>
      <c r="C98" s="17" t="s">
        <v>91</v>
      </c>
      <c r="D98" s="18">
        <f t="shared" si="23"/>
        <v>10</v>
      </c>
      <c r="E98" s="18" t="str">
        <f t="shared" si="24"/>
        <v>0.014,0.043,0.086,0,-0.15,0,0.3,0,0</v>
      </c>
      <c r="F98" s="18">
        <f t="shared" si="25"/>
        <v>6</v>
      </c>
      <c r="G98" s="18">
        <f t="shared" si="26"/>
        <v>4</v>
      </c>
      <c r="H98" s="18" t="str">
        <f t="shared" si="27"/>
        <v>0.8</v>
      </c>
      <c r="I98" s="17">
        <f t="shared" si="18"/>
        <v>1498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212</v>
      </c>
      <c r="B99" s="17" t="s">
        <v>93</v>
      </c>
      <c r="C99" s="17" t="s">
        <v>91</v>
      </c>
      <c r="D99" s="18">
        <f t="shared" si="23"/>
        <v>12</v>
      </c>
      <c r="E99" s="18" t="str">
        <f t="shared" si="24"/>
        <v>0.064,0.064,0.032,0,-0.1,0,0.2,0,0</v>
      </c>
      <c r="F99" s="18">
        <f t="shared" si="25"/>
        <v>8</v>
      </c>
      <c r="G99" s="18">
        <f t="shared" si="26"/>
        <v>5</v>
      </c>
      <c r="H99" s="18" t="str">
        <f t="shared" si="27"/>
        <v>0.9</v>
      </c>
      <c r="I99" s="17">
        <f t="shared" si="18"/>
        <v>2149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213</v>
      </c>
      <c r="B100" s="17" t="s">
        <v>93</v>
      </c>
      <c r="C100" s="17" t="s">
        <v>91</v>
      </c>
      <c r="D100" s="18">
        <f t="shared" si="23"/>
        <v>14</v>
      </c>
      <c r="E100" s="18" t="str">
        <f t="shared" si="24"/>
        <v>0.088,0.07,0.018,0.05,-0.15,0,0.25,0,0</v>
      </c>
      <c r="F100" s="18">
        <f t="shared" si="25"/>
        <v>10</v>
      </c>
      <c r="G100" s="18">
        <f t="shared" si="26"/>
        <v>6</v>
      </c>
      <c r="H100" s="18" t="str">
        <f t="shared" si="27"/>
        <v>1</v>
      </c>
      <c r="I100" s="17">
        <f t="shared" si="18"/>
        <v>2920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214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0.03,0.023,0.023,0.05,-0.05,0,0,0,0</v>
      </c>
      <c r="F101" s="18">
        <f t="shared" si="25"/>
        <v>1</v>
      </c>
      <c r="G101" s="18">
        <f t="shared" si="26"/>
        <v>3</v>
      </c>
      <c r="H101" s="18" t="str">
        <f t="shared" si="27"/>
        <v>0.4</v>
      </c>
      <c r="I101" s="17">
        <f t="shared" si="18"/>
        <v>78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215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0.028,0.037,0.028,0.05,-0.05,0,0.05,0,0</v>
      </c>
      <c r="F102" s="18">
        <f t="shared" si="25"/>
        <v>2</v>
      </c>
      <c r="G102" s="18">
        <f t="shared" si="26"/>
        <v>6</v>
      </c>
      <c r="H102" s="18" t="str">
        <f t="shared" si="27"/>
        <v>0.48</v>
      </c>
      <c r="I102" s="17">
        <f t="shared" si="18"/>
        <v>276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216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0.032,0.054,0.022,0.15,-0.1,0,0.1,0,0</v>
      </c>
      <c r="F103" s="18">
        <f t="shared" si="25"/>
        <v>3</v>
      </c>
      <c r="G103" s="18">
        <f t="shared" si="26"/>
        <v>8</v>
      </c>
      <c r="H103" s="18" t="str">
        <f t="shared" si="27"/>
        <v>0.56</v>
      </c>
      <c r="I103" s="17">
        <f t="shared" si="18"/>
        <v>589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217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0.05,0.025,0.05,0.1,-0.05,0,0.1,0.05,0</v>
      </c>
      <c r="F104" s="18">
        <f t="shared" si="25"/>
        <v>4</v>
      </c>
      <c r="G104" s="18">
        <f t="shared" si="26"/>
        <v>10</v>
      </c>
      <c r="H104" s="18" t="str">
        <f t="shared" si="27"/>
        <v>0.64</v>
      </c>
      <c r="I104" s="17">
        <f t="shared" si="18"/>
        <v>1022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218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0.07,0.056,0.014,0.05,-0.05,0,0.05,0,0.1</v>
      </c>
      <c r="F105" s="18">
        <f t="shared" si="25"/>
        <v>5</v>
      </c>
      <c r="G105" s="18">
        <f t="shared" si="26"/>
        <v>12</v>
      </c>
      <c r="H105" s="18" t="str">
        <f t="shared" si="27"/>
        <v>0.72</v>
      </c>
      <c r="I105" s="17">
        <f t="shared" si="18"/>
        <v>1575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219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0.094,0.047,0.016,0.05,-0.15,0,0.1,0.05,0.1</v>
      </c>
      <c r="F106" s="18">
        <f t="shared" si="25"/>
        <v>6</v>
      </c>
      <c r="G106" s="18">
        <f t="shared" si="26"/>
        <v>14</v>
      </c>
      <c r="H106" s="18" t="str">
        <f t="shared" si="27"/>
        <v>0.8</v>
      </c>
      <c r="I106" s="17">
        <f t="shared" si="18"/>
        <v>2248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221</v>
      </c>
      <c r="B107" s="17" t="s">
        <v>93</v>
      </c>
      <c r="C107" s="17" t="s">
        <v>91</v>
      </c>
      <c r="D107" s="18">
        <f t="shared" si="23"/>
        <v>3</v>
      </c>
      <c r="E107" s="18" t="str">
        <f t="shared" si="24"/>
        <v>0.065,0.011,0.032,0,0,0,0,0,0</v>
      </c>
      <c r="F107" s="18">
        <f t="shared" si="25"/>
        <v>2</v>
      </c>
      <c r="G107" s="18">
        <f t="shared" si="26"/>
        <v>1</v>
      </c>
      <c r="H107" s="18" t="str">
        <f t="shared" si="27"/>
        <v>0.5</v>
      </c>
      <c r="I107" s="17">
        <f t="shared" si="18"/>
        <v>221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220</v>
      </c>
      <c r="B108" s="17" t="s">
        <v>93</v>
      </c>
      <c r="C108" s="17" t="s">
        <v>91</v>
      </c>
      <c r="D108" s="18">
        <f t="shared" si="23"/>
        <v>5</v>
      </c>
      <c r="E108" s="18" t="str">
        <f t="shared" si="24"/>
        <v>0.076,0.013,0.038,0,0,0,0,0,0</v>
      </c>
      <c r="F108" s="18">
        <f t="shared" si="25"/>
        <v>4</v>
      </c>
      <c r="G108" s="18">
        <f t="shared" si="26"/>
        <v>2</v>
      </c>
      <c r="H108" s="18" t="str">
        <f t="shared" si="27"/>
        <v>0.6</v>
      </c>
      <c r="I108" s="17">
        <f t="shared" si="18"/>
        <v>512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222</v>
      </c>
      <c r="B109" s="17" t="s">
        <v>93</v>
      </c>
      <c r="C109" s="17" t="s">
        <v>91</v>
      </c>
      <c r="D109" s="18">
        <f t="shared" si="23"/>
        <v>8</v>
      </c>
      <c r="E109" s="18" t="str">
        <f t="shared" si="24"/>
        <v>0.072,0.014,0.058,0,0,0,0,0,0</v>
      </c>
      <c r="F109" s="18">
        <f t="shared" si="25"/>
        <v>5</v>
      </c>
      <c r="G109" s="18">
        <f t="shared" si="26"/>
        <v>3</v>
      </c>
      <c r="H109" s="18" t="str">
        <f t="shared" si="27"/>
        <v>0.7</v>
      </c>
      <c r="I109" s="17">
        <f t="shared" si="18"/>
        <v>970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223</v>
      </c>
      <c r="B110" s="17" t="s">
        <v>93</v>
      </c>
      <c r="C110" s="17" t="s">
        <v>91</v>
      </c>
      <c r="D110" s="18">
        <f t="shared" si="23"/>
        <v>11</v>
      </c>
      <c r="E110" s="18" t="str">
        <f t="shared" si="24"/>
        <v>0.097,0.016,0.049,0,0,0,-0.05,0,0.1</v>
      </c>
      <c r="F110" s="18">
        <f t="shared" si="25"/>
        <v>7</v>
      </c>
      <c r="G110" s="18">
        <f t="shared" si="26"/>
        <v>4</v>
      </c>
      <c r="H110" s="18" t="str">
        <f t="shared" si="27"/>
        <v>0.8</v>
      </c>
      <c r="I110" s="17">
        <f t="shared" si="18"/>
        <v>1551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224</v>
      </c>
      <c r="B111" s="17" t="s">
        <v>93</v>
      </c>
      <c r="C111" s="17" t="s">
        <v>91</v>
      </c>
      <c r="D111" s="18">
        <f t="shared" si="23"/>
        <v>14</v>
      </c>
      <c r="E111" s="18" t="str">
        <f t="shared" si="24"/>
        <v>0.072,0.036,0.072,0,0,0,-0.1,0.05,0.15</v>
      </c>
      <c r="F111" s="18">
        <f t="shared" si="25"/>
        <v>9</v>
      </c>
      <c r="G111" s="18">
        <f t="shared" si="26"/>
        <v>5</v>
      </c>
      <c r="H111" s="18" t="str">
        <f t="shared" si="27"/>
        <v>0.9</v>
      </c>
      <c r="I111" s="17">
        <f t="shared" si="18"/>
        <v>2252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225</v>
      </c>
      <c r="B112" s="17" t="s">
        <v>93</v>
      </c>
      <c r="C112" s="17" t="s">
        <v>91</v>
      </c>
      <c r="D112" s="18">
        <f t="shared" si="23"/>
        <v>16</v>
      </c>
      <c r="E112" s="18" t="str">
        <f t="shared" si="24"/>
        <v>0.079,0.059,0.059,0,0,0,-0.15,0.15,0.15</v>
      </c>
      <c r="F112" s="18">
        <f t="shared" si="25"/>
        <v>11</v>
      </c>
      <c r="G112" s="18">
        <f t="shared" si="26"/>
        <v>6</v>
      </c>
      <c r="H112" s="18" t="str">
        <f t="shared" si="27"/>
        <v>1</v>
      </c>
      <c r="I112" s="17">
        <f t="shared" si="18"/>
        <v>3023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226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0.026,0.017,0.043,0,0.05,0.05,0,0,0</v>
      </c>
      <c r="F113" s="18">
        <f t="shared" si="25"/>
        <v>1</v>
      </c>
      <c r="G113" s="18">
        <f t="shared" si="26"/>
        <v>4</v>
      </c>
      <c r="H113" s="18" t="str">
        <f t="shared" si="27"/>
        <v>0.15</v>
      </c>
      <c r="I113" s="17">
        <f t="shared" si="18"/>
        <v>83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227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0.041,0.01,0.052,0,0.05,0,0,0,0</v>
      </c>
      <c r="F114" s="18">
        <f t="shared" si="25"/>
        <v>2</v>
      </c>
      <c r="G114" s="18">
        <f t="shared" si="26"/>
        <v>7</v>
      </c>
      <c r="H114" s="18" t="str">
        <f t="shared" si="27"/>
        <v>0.18</v>
      </c>
      <c r="I114" s="17">
        <f t="shared" si="18"/>
        <v>281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228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0.036,0.049,0.036,0,0.05,0,0,0,0</v>
      </c>
      <c r="F115" s="18">
        <f t="shared" si="25"/>
        <v>3</v>
      </c>
      <c r="G115" s="18">
        <f t="shared" si="26"/>
        <v>10</v>
      </c>
      <c r="H115" s="18" t="str">
        <f t="shared" si="27"/>
        <v>0.21</v>
      </c>
      <c r="I115" s="17">
        <f t="shared" si="18"/>
        <v>599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229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0.042,0.042,0.056,0.05,0.05,0.05,-0.1,-0.15,0.25</v>
      </c>
      <c r="F116" s="18">
        <f t="shared" si="25"/>
        <v>4</v>
      </c>
      <c r="G116" s="18">
        <f t="shared" si="26"/>
        <v>13</v>
      </c>
      <c r="H116" s="18" t="str">
        <f t="shared" si="27"/>
        <v>0.24</v>
      </c>
      <c r="I116" s="17">
        <f t="shared" si="18"/>
        <v>1037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230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0.055,0.055,0.047,0.1,0,0,-0.05,0.05,0</v>
      </c>
      <c r="F117" s="18">
        <f t="shared" si="25"/>
        <v>5</v>
      </c>
      <c r="G117" s="18">
        <f t="shared" si="26"/>
        <v>15</v>
      </c>
      <c r="H117" s="18" t="str">
        <f t="shared" si="27"/>
        <v>0.27</v>
      </c>
      <c r="I117" s="17">
        <f t="shared" si="18"/>
        <v>1590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231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0.07,0.053,0.053,0.1,0.1,0.1,-0.1,0.05,-0.15</v>
      </c>
      <c r="F118" s="18">
        <f t="shared" si="25"/>
        <v>6</v>
      </c>
      <c r="G118" s="18">
        <f t="shared" si="26"/>
        <v>18</v>
      </c>
      <c r="H118" s="18" t="str">
        <f t="shared" si="27"/>
        <v>0.3</v>
      </c>
      <c r="I118" s="17">
        <f t="shared" si="18"/>
        <v>2268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232</v>
      </c>
      <c r="B119" s="17" t="s">
        <v>93</v>
      </c>
      <c r="C119" s="17" t="s">
        <v>91</v>
      </c>
      <c r="D119" s="18">
        <f t="shared" si="23"/>
        <v>3</v>
      </c>
      <c r="E119" s="18" t="str">
        <f t="shared" si="24"/>
        <v>0.058,0.043,0.043,0.05,0,0,0,0,0</v>
      </c>
      <c r="F119" s="18">
        <f t="shared" si="25"/>
        <v>2</v>
      </c>
      <c r="G119" s="18">
        <f t="shared" si="26"/>
        <v>1</v>
      </c>
      <c r="H119" s="18" t="str">
        <f t="shared" si="27"/>
        <v>0.5</v>
      </c>
      <c r="I119" s="17">
        <f t="shared" si="18"/>
        <v>221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233</v>
      </c>
      <c r="B120" s="17" t="s">
        <v>93</v>
      </c>
      <c r="C120" s="17" t="s">
        <v>91</v>
      </c>
      <c r="D120" s="18">
        <f t="shared" si="23"/>
        <v>7</v>
      </c>
      <c r="E120" s="18" t="str">
        <f t="shared" si="24"/>
        <v>0.084,0.034,0.05,0.05,0,0,0,-0.05,0.05</v>
      </c>
      <c r="F120" s="18">
        <f t="shared" si="25"/>
        <v>4</v>
      </c>
      <c r="G120" s="18">
        <f t="shared" si="26"/>
        <v>2</v>
      </c>
      <c r="H120" s="18" t="str">
        <f t="shared" si="27"/>
        <v>0.6</v>
      </c>
      <c r="I120" s="17">
        <f t="shared" si="18"/>
        <v>612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234</v>
      </c>
      <c r="B121" s="17" t="s">
        <v>93</v>
      </c>
      <c r="C121" s="17" t="s">
        <v>91</v>
      </c>
      <c r="D121" s="18">
        <f t="shared" si="23"/>
        <v>10</v>
      </c>
      <c r="E121" s="18" t="str">
        <f t="shared" si="24"/>
        <v>0.096,0.038,0.058,0,0,-0.05,0,0,0.1</v>
      </c>
      <c r="F121" s="18">
        <f t="shared" si="25"/>
        <v>7</v>
      </c>
      <c r="G121" s="18">
        <f t="shared" si="26"/>
        <v>3</v>
      </c>
      <c r="H121" s="18" t="str">
        <f t="shared" si="27"/>
        <v>0.7</v>
      </c>
      <c r="I121" s="17">
        <f t="shared" si="18"/>
        <v>1076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235</v>
      </c>
      <c r="B122" s="17" t="s">
        <v>93</v>
      </c>
      <c r="C122" s="17" t="s">
        <v>91</v>
      </c>
      <c r="D122" s="18">
        <f t="shared" si="23"/>
        <v>13</v>
      </c>
      <c r="E122" s="18" t="str">
        <f t="shared" si="24"/>
        <v>0.108,0.043,0.065,0,0,-0.05,0,-0.05,0.15</v>
      </c>
      <c r="F122" s="18">
        <f t="shared" si="25"/>
        <v>9</v>
      </c>
      <c r="G122" s="18">
        <f t="shared" si="26"/>
        <v>4</v>
      </c>
      <c r="H122" s="18" t="str">
        <f t="shared" si="27"/>
        <v>0.8</v>
      </c>
      <c r="I122" s="17">
        <f t="shared" si="18"/>
        <v>1657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480</v>
      </c>
      <c r="B123" s="17" t="s">
        <v>93</v>
      </c>
      <c r="C123" s="17" t="s">
        <v>91</v>
      </c>
      <c r="D123" s="18">
        <f t="shared" si="23"/>
        <v>16</v>
      </c>
      <c r="E123" s="18" t="str">
        <f t="shared" si="24"/>
        <v>0.144,0.048,0.048,0.05,0,-0.1,0,-0.1,0.2</v>
      </c>
      <c r="F123" s="18">
        <f t="shared" si="25"/>
        <v>11</v>
      </c>
      <c r="G123" s="18">
        <f t="shared" si="26"/>
        <v>5</v>
      </c>
      <c r="H123" s="18" t="str">
        <f t="shared" si="27"/>
        <v>0.9</v>
      </c>
      <c r="I123" s="17">
        <f t="shared" si="18"/>
        <v>2358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236</v>
      </c>
      <c r="B124" s="17" t="s">
        <v>93</v>
      </c>
      <c r="C124" s="17" t="s">
        <v>91</v>
      </c>
      <c r="D124" s="18">
        <f t="shared" si="23"/>
        <v>20</v>
      </c>
      <c r="E124" s="18" t="str">
        <f t="shared" si="24"/>
        <v>0.158,0.026,0.079,0.15,0,-0.05,-0.05,-0.05,0.2</v>
      </c>
      <c r="F124" s="18">
        <f t="shared" si="25"/>
        <v>13</v>
      </c>
      <c r="G124" s="18">
        <f t="shared" si="26"/>
        <v>6</v>
      </c>
      <c r="H124" s="18" t="str">
        <f t="shared" si="27"/>
        <v>1</v>
      </c>
      <c r="I124" s="17">
        <f t="shared" si="18"/>
        <v>3229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237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0.034,0.057,0.023,0.05,0,0,0,0,0</v>
      </c>
      <c r="F125" s="18">
        <f t="shared" si="25"/>
        <v>1</v>
      </c>
      <c r="G125" s="18">
        <f t="shared" si="26"/>
        <v>3</v>
      </c>
      <c r="H125" s="18" t="str">
        <f t="shared" si="27"/>
        <v>-0.5</v>
      </c>
      <c r="I125" s="17">
        <f t="shared" si="18"/>
        <v>78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297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0.055,0.041,0.041,0.05,0,0,0,0,0.05</v>
      </c>
      <c r="F126" s="18">
        <f t="shared" si="25"/>
        <v>2</v>
      </c>
      <c r="G126" s="18">
        <f t="shared" si="26"/>
        <v>4</v>
      </c>
      <c r="H126" s="18" t="str">
        <f t="shared" si="27"/>
        <v>-0.6</v>
      </c>
      <c r="I126" s="17">
        <f t="shared" si="18"/>
        <v>266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238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0.016,0.065,0.081,0,0,0,0,0,0.1</v>
      </c>
      <c r="F127" s="18">
        <f t="shared" si="25"/>
        <v>3</v>
      </c>
      <c r="G127" s="18">
        <f t="shared" si="26"/>
        <v>6</v>
      </c>
      <c r="H127" s="18" t="str">
        <f t="shared" si="27"/>
        <v>-0.7</v>
      </c>
      <c r="I127" s="17">
        <f t="shared" si="18"/>
        <v>579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239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0.037,0.074,0.074,0,0.05,0,0.05,-0.05,0.1</v>
      </c>
      <c r="F128" s="18">
        <f t="shared" si="25"/>
        <v>4</v>
      </c>
      <c r="G128" s="18">
        <f t="shared" si="26"/>
        <v>8</v>
      </c>
      <c r="H128" s="18" t="str">
        <f t="shared" si="27"/>
        <v>-0.8</v>
      </c>
      <c r="I128" s="17">
        <f t="shared" si="18"/>
        <v>1012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240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0.084,0.042,0.084,0,0.05,0.05,0.05,-0.1,0.1</v>
      </c>
      <c r="F129" s="18">
        <f t="shared" si="25"/>
        <v>5</v>
      </c>
      <c r="G129" s="18">
        <f t="shared" si="26"/>
        <v>10</v>
      </c>
      <c r="H129" s="18" t="str">
        <f t="shared" si="27"/>
        <v>-0.9</v>
      </c>
      <c r="I129" s="17">
        <f t="shared" si="18"/>
        <v>1565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248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0.07,0.094,0.07,0.05,0.05,0.05,0.1,-0.1,0.15</v>
      </c>
      <c r="F130" s="18">
        <f t="shared" si="25"/>
        <v>6</v>
      </c>
      <c r="G130" s="18">
        <f t="shared" si="26"/>
        <v>12</v>
      </c>
      <c r="H130" s="18" t="str">
        <f t="shared" si="27"/>
        <v>-1</v>
      </c>
      <c r="I130" s="17">
        <f t="shared" si="18"/>
        <v>2238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241</v>
      </c>
      <c r="B131" s="17" t="s">
        <v>93</v>
      </c>
      <c r="C131" s="17" t="s">
        <v>91</v>
      </c>
      <c r="D131" s="18">
        <f t="shared" si="23"/>
        <v>4</v>
      </c>
      <c r="E131" s="18" t="str">
        <f t="shared" si="24"/>
        <v>0.066,0.026,0.04,0,0.025,0,0,0,0</v>
      </c>
      <c r="F131" s="18">
        <f t="shared" si="25"/>
        <v>2</v>
      </c>
      <c r="G131" s="18">
        <f t="shared" si="26"/>
        <v>1</v>
      </c>
      <c r="H131" s="18" t="str">
        <f t="shared" si="27"/>
        <v>0.5</v>
      </c>
      <c r="I131" s="17">
        <f t="shared" si="18"/>
        <v>271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242</v>
      </c>
      <c r="B132" s="17" t="s">
        <v>93</v>
      </c>
      <c r="C132" s="17" t="s">
        <v>91</v>
      </c>
      <c r="D132" s="18">
        <f t="shared" si="23"/>
        <v>7</v>
      </c>
      <c r="E132" s="18" t="str">
        <f t="shared" si="24"/>
        <v>0.077,0.046,0.031,-0.05,0.075,0,0,0,0</v>
      </c>
      <c r="F132" s="18">
        <f t="shared" si="25"/>
        <v>5</v>
      </c>
      <c r="G132" s="18">
        <f t="shared" si="26"/>
        <v>2</v>
      </c>
      <c r="H132" s="18" t="str">
        <f t="shared" si="27"/>
        <v>0.6</v>
      </c>
      <c r="I132" s="17">
        <f t="shared" si="18"/>
        <v>615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243</v>
      </c>
      <c r="B133" s="17" t="s">
        <v>93</v>
      </c>
      <c r="C133" s="17" t="s">
        <v>91</v>
      </c>
      <c r="D133" s="18">
        <f t="shared" si="23"/>
        <v>11</v>
      </c>
      <c r="E133" s="18" t="str">
        <f t="shared" si="24"/>
        <v>0.088,0.07,0.018,0,0.1,-0.1,0,0,0</v>
      </c>
      <c r="F133" s="18">
        <f t="shared" si="25"/>
        <v>7</v>
      </c>
      <c r="G133" s="18">
        <f t="shared" si="26"/>
        <v>3</v>
      </c>
      <c r="H133" s="18" t="str">
        <f t="shared" si="27"/>
        <v>0.7</v>
      </c>
      <c r="I133" s="17">
        <f t="shared" si="18"/>
        <v>1126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244</v>
      </c>
      <c r="B134" s="17" t="s">
        <v>93</v>
      </c>
      <c r="C134" s="17" t="s">
        <v>91</v>
      </c>
      <c r="D134" s="18">
        <f t="shared" si="23"/>
        <v>14</v>
      </c>
      <c r="E134" s="18" t="str">
        <f t="shared" si="24"/>
        <v>0.079,0.04,0.079,-0.05,0.15,-0.05,0,0,0</v>
      </c>
      <c r="F134" s="18">
        <f t="shared" si="25"/>
        <v>10</v>
      </c>
      <c r="G134" s="18">
        <f t="shared" si="26"/>
        <v>4</v>
      </c>
      <c r="H134" s="18" t="str">
        <f t="shared" si="27"/>
        <v>0.8</v>
      </c>
      <c r="I134" s="17">
        <f t="shared" si="18"/>
        <v>1710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245</v>
      </c>
      <c r="B135" s="17" t="s">
        <v>93</v>
      </c>
      <c r="C135" s="17" t="s">
        <v>91</v>
      </c>
      <c r="D135" s="18">
        <f t="shared" si="23"/>
        <v>18</v>
      </c>
      <c r="E135" s="18" t="str">
        <f t="shared" si="24"/>
        <v>0.132,0.044,0.044,-0.1,0.1,0,0.1,0,0</v>
      </c>
      <c r="F135" s="18">
        <f t="shared" si="25"/>
        <v>12</v>
      </c>
      <c r="G135" s="18">
        <f t="shared" si="26"/>
        <v>5</v>
      </c>
      <c r="H135" s="18" t="str">
        <f t="shared" si="27"/>
        <v>0.9</v>
      </c>
      <c r="I135" s="17">
        <f t="shared" si="18"/>
        <v>2461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246</v>
      </c>
      <c r="B136" s="17" t="s">
        <v>93</v>
      </c>
      <c r="C136" s="17" t="s">
        <v>91</v>
      </c>
      <c r="D136" s="18">
        <f t="shared" si="23"/>
        <v>22</v>
      </c>
      <c r="E136" s="18" t="str">
        <f t="shared" si="24"/>
        <v>0.121,0.073,0.048,-0.1,0.1,0,0.1,0.15,-0.15</v>
      </c>
      <c r="F136" s="18">
        <f t="shared" si="25"/>
        <v>14</v>
      </c>
      <c r="G136" s="18">
        <f t="shared" si="26"/>
        <v>6</v>
      </c>
      <c r="H136" s="18" t="str">
        <f t="shared" si="27"/>
        <v>1</v>
      </c>
      <c r="I136" s="17">
        <f t="shared" si="18"/>
        <v>3332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247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0.031,0.052,0.021,0,0.1,0,0,0,0</v>
      </c>
      <c r="F137" s="18">
        <f t="shared" si="25"/>
        <v>1</v>
      </c>
      <c r="G137" s="18">
        <f t="shared" si="26"/>
        <v>2</v>
      </c>
      <c r="H137" s="18" t="str">
        <f t="shared" si="27"/>
        <v>-0.6</v>
      </c>
      <c r="I137" s="17">
        <f t="shared" si="18"/>
        <v>73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298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0.051,0.051,0.025,0,0.1,0,0,0,0</v>
      </c>
      <c r="F138" s="18">
        <f t="shared" si="25"/>
        <v>2</v>
      </c>
      <c r="G138" s="18">
        <f t="shared" si="26"/>
        <v>3</v>
      </c>
      <c r="H138" s="18" t="str">
        <f t="shared" si="27"/>
        <v>-0.72</v>
      </c>
      <c r="I138" s="17">
        <f t="shared" si="18"/>
        <v>261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250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0.03,0.074,0.045,-0.05,0.1,0,0,0,0</v>
      </c>
      <c r="F139" s="18">
        <f t="shared" si="25"/>
        <v>3</v>
      </c>
      <c r="G139" s="18">
        <f t="shared" si="26"/>
        <v>4</v>
      </c>
      <c r="H139" s="18" t="str">
        <f t="shared" si="27"/>
        <v>-0.84</v>
      </c>
      <c r="I139" s="17">
        <f t="shared" si="18"/>
        <v>569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251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0.051,0.085,0.034,-0.1,0.15,0,0,0,0</v>
      </c>
      <c r="F140" s="18">
        <f t="shared" si="25"/>
        <v>4</v>
      </c>
      <c r="G140" s="18">
        <f t="shared" si="26"/>
        <v>5</v>
      </c>
      <c r="H140" s="18" t="str">
        <f t="shared" si="27"/>
        <v>-0.96</v>
      </c>
      <c r="I140" s="17">
        <f t="shared" si="18"/>
        <v>997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252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0.077,0.058,0.058,-0.15,0.25,0,0,-0.05,0</v>
      </c>
      <c r="F141" s="18">
        <f t="shared" si="25"/>
        <v>5</v>
      </c>
      <c r="G141" s="18">
        <f t="shared" si="26"/>
        <v>7</v>
      </c>
      <c r="H141" s="18" t="str">
        <f t="shared" si="27"/>
        <v>-1.08</v>
      </c>
      <c r="I141" s="17">
        <f t="shared" si="18"/>
        <v>1550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253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0.086,0.086,0.043,-0.3,0.4,0,0,-0.05,0</v>
      </c>
      <c r="F142" s="18">
        <f t="shared" si="25"/>
        <v>6</v>
      </c>
      <c r="G142" s="18">
        <f t="shared" si="26"/>
        <v>8</v>
      </c>
      <c r="H142" s="18" t="str">
        <f t="shared" si="27"/>
        <v>-1.2</v>
      </c>
      <c r="I142" s="17">
        <f t="shared" si="18"/>
        <v>2218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254</v>
      </c>
      <c r="B143" s="17" t="s">
        <v>94</v>
      </c>
      <c r="C143" s="17" t="s">
        <v>91</v>
      </c>
      <c r="D143" s="18">
        <f t="shared" si="23"/>
        <v>3</v>
      </c>
      <c r="E143" s="18" t="str">
        <f t="shared" si="24"/>
        <v>0.036,0.036,0.048,0,0,0,0,0,0</v>
      </c>
      <c r="F143" s="18">
        <f t="shared" si="25"/>
        <v>2</v>
      </c>
      <c r="G143" s="18">
        <f t="shared" si="26"/>
        <v>1</v>
      </c>
      <c r="H143" s="18" t="str">
        <f t="shared" si="27"/>
        <v>0.5</v>
      </c>
      <c r="I143" s="17">
        <f t="shared" si="18"/>
        <v>221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255</v>
      </c>
      <c r="B144" s="17" t="s">
        <v>94</v>
      </c>
      <c r="C144" s="17" t="s">
        <v>91</v>
      </c>
      <c r="D144" s="18">
        <f t="shared" si="23"/>
        <v>6</v>
      </c>
      <c r="E144" s="18" t="str">
        <f t="shared" si="24"/>
        <v>0.042,0.042,0.056,0,0,0,0,0,0</v>
      </c>
      <c r="F144" s="18">
        <f t="shared" si="25"/>
        <v>4</v>
      </c>
      <c r="G144" s="18">
        <f t="shared" si="26"/>
        <v>2</v>
      </c>
      <c r="H144" s="18" t="str">
        <f t="shared" si="27"/>
        <v>0.6</v>
      </c>
      <c r="I144" s="17">
        <f t="shared" si="18"/>
        <v>562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256</v>
      </c>
      <c r="B145" s="17" t="s">
        <v>94</v>
      </c>
      <c r="C145" s="17" t="s">
        <v>91</v>
      </c>
      <c r="D145" s="18">
        <f t="shared" si="23"/>
        <v>9</v>
      </c>
      <c r="E145" s="18" t="str">
        <f t="shared" si="24"/>
        <v>0.048,0.048,0.064,0,0,0,0,0,0</v>
      </c>
      <c r="F145" s="18">
        <f t="shared" si="25"/>
        <v>6</v>
      </c>
      <c r="G145" s="18">
        <f t="shared" si="26"/>
        <v>3</v>
      </c>
      <c r="H145" s="18" t="str">
        <f t="shared" si="27"/>
        <v>0.7</v>
      </c>
      <c r="I145" s="17">
        <f t="shared" si="18"/>
        <v>1023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257</v>
      </c>
      <c r="B146" s="17" t="s">
        <v>94</v>
      </c>
      <c r="C146" s="17" t="s">
        <v>91</v>
      </c>
      <c r="D146" s="18">
        <f t="shared" si="23"/>
        <v>12</v>
      </c>
      <c r="E146" s="18" t="str">
        <f t="shared" si="24"/>
        <v>0.054,0.054,0.072,0,0,0,0,0,0</v>
      </c>
      <c r="F146" s="18">
        <f t="shared" si="25"/>
        <v>8</v>
      </c>
      <c r="G146" s="18">
        <f t="shared" si="26"/>
        <v>4</v>
      </c>
      <c r="H146" s="18" t="str">
        <f t="shared" si="27"/>
        <v>0.8</v>
      </c>
      <c r="I146" s="17">
        <f t="shared" si="18"/>
        <v>1604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258</v>
      </c>
      <c r="B147" s="17" t="s">
        <v>94</v>
      </c>
      <c r="C147" s="17" t="s">
        <v>91</v>
      </c>
      <c r="D147" s="18">
        <f t="shared" si="23"/>
        <v>15</v>
      </c>
      <c r="E147" s="18" t="str">
        <f t="shared" si="24"/>
        <v>0.06,0.06,0.08,0,0,0,0,0,0</v>
      </c>
      <c r="F147" s="18">
        <f t="shared" si="25"/>
        <v>10</v>
      </c>
      <c r="G147" s="18">
        <f t="shared" si="26"/>
        <v>5</v>
      </c>
      <c r="H147" s="18" t="str">
        <f t="shared" si="27"/>
        <v>0.9</v>
      </c>
      <c r="I147" s="17">
        <f t="shared" si="18"/>
        <v>2305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259</v>
      </c>
      <c r="B148" s="17" t="s">
        <v>94</v>
      </c>
      <c r="C148" s="17" t="s">
        <v>91</v>
      </c>
      <c r="D148" s="18">
        <f t="shared" si="23"/>
        <v>18</v>
      </c>
      <c r="E148" s="18" t="str">
        <f t="shared" si="24"/>
        <v>0.11,0.044,0.066,0,0,0,0,0.2,-0.25</v>
      </c>
      <c r="F148" s="18">
        <f t="shared" si="25"/>
        <v>12</v>
      </c>
      <c r="G148" s="18">
        <f t="shared" si="26"/>
        <v>6</v>
      </c>
      <c r="H148" s="18" t="str">
        <f t="shared" si="27"/>
        <v>1</v>
      </c>
      <c r="I148" s="17">
        <f t="shared" ref="I148:I202" si="88">M148*M148*60+F148*3+G148*5+D148*50</f>
        <v>3126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260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0.019,0.019,0.057,0,0,0,0,0,0</v>
      </c>
      <c r="F149" s="18">
        <f t="shared" si="25"/>
        <v>1</v>
      </c>
      <c r="G149" s="18">
        <f t="shared" si="26"/>
        <v>4</v>
      </c>
      <c r="H149" s="18" t="str">
        <f t="shared" si="27"/>
        <v>-0.5</v>
      </c>
      <c r="I149" s="17">
        <f t="shared" si="88"/>
        <v>83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261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0.035,0.012,0.069,0,0,0,0.15,0,0</v>
      </c>
      <c r="F150" s="18">
        <f t="shared" si="25"/>
        <v>2</v>
      </c>
      <c r="G150" s="18">
        <f t="shared" si="26"/>
        <v>6</v>
      </c>
      <c r="H150" s="18" t="str">
        <f t="shared" si="27"/>
        <v>-0.6</v>
      </c>
      <c r="I150" s="17">
        <f t="shared" si="88"/>
        <v>276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262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0.041,0.041,0.054,0.05,0.05,0.05,0,0,0.05</v>
      </c>
      <c r="F151" s="18">
        <f t="shared" si="25"/>
        <v>3</v>
      </c>
      <c r="G151" s="18">
        <f t="shared" si="26"/>
        <v>8</v>
      </c>
      <c r="H151" s="18" t="str">
        <f t="shared" si="27"/>
        <v>-0.7</v>
      </c>
      <c r="I151" s="17">
        <f t="shared" si="88"/>
        <v>589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263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0.062,0.047,0.047,0,0,0,0,0.3,-0.2</v>
      </c>
      <c r="F152" s="18">
        <f t="shared" ref="F152:F215" si="95">ARMOR_HP(C152,L152,M152)</f>
        <v>4</v>
      </c>
      <c r="G152" s="18">
        <f t="shared" ref="G152:G215" si="96">ARMOR_SP(C152,L152,M152)</f>
        <v>11</v>
      </c>
      <c r="H152" s="18" t="str">
        <f t="shared" ref="H152:H215" si="97">ARMOR_SPEED(C152,L152,M152)</f>
        <v>-0.8</v>
      </c>
      <c r="I152" s="17">
        <f t="shared" si="88"/>
        <v>1027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264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0.053,0.035,0.087,0,0,0,0.15,0.2,-0.1</v>
      </c>
      <c r="F153" s="18">
        <f t="shared" si="95"/>
        <v>5</v>
      </c>
      <c r="G153" s="18">
        <f t="shared" si="96"/>
        <v>13</v>
      </c>
      <c r="H153" s="18" t="str">
        <f t="shared" si="97"/>
        <v>-0.9</v>
      </c>
      <c r="I153" s="17">
        <f t="shared" si="88"/>
        <v>1580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265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0.068,0.068,0.058,0.1,0.1,0.1,0,0.25,-0.5</v>
      </c>
      <c r="F154" s="18">
        <f t="shared" si="95"/>
        <v>6</v>
      </c>
      <c r="G154" s="18">
        <f t="shared" si="96"/>
        <v>16</v>
      </c>
      <c r="H154" s="18" t="str">
        <f t="shared" si="97"/>
        <v>-1</v>
      </c>
      <c r="I154" s="17">
        <f t="shared" si="88"/>
        <v>2258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266</v>
      </c>
      <c r="B155" s="17" t="s">
        <v>94</v>
      </c>
      <c r="C155" s="17" t="s">
        <v>91</v>
      </c>
      <c r="D155" s="18">
        <f t="shared" si="93"/>
        <v>2</v>
      </c>
      <c r="E155" s="18" t="str">
        <f t="shared" si="94"/>
        <v>0.029,0.048,0.019,0.05,0.025,0,0.1,0,0</v>
      </c>
      <c r="F155" s="18">
        <f t="shared" si="95"/>
        <v>2</v>
      </c>
      <c r="G155" s="18">
        <f t="shared" si="96"/>
        <v>1</v>
      </c>
      <c r="H155" s="18" t="str">
        <f t="shared" si="97"/>
        <v>0.5</v>
      </c>
      <c r="I155" s="17">
        <f t="shared" si="88"/>
        <v>171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267</v>
      </c>
      <c r="B156" s="17" t="s">
        <v>94</v>
      </c>
      <c r="C156" s="17" t="s">
        <v>91</v>
      </c>
      <c r="D156" s="18">
        <f t="shared" si="93"/>
        <v>5</v>
      </c>
      <c r="E156" s="18" t="str">
        <f t="shared" si="94"/>
        <v>0.022,0.056,0.034,0.05,0.05,0,0,0.1,0</v>
      </c>
      <c r="F156" s="18">
        <f t="shared" si="95"/>
        <v>3</v>
      </c>
      <c r="G156" s="18">
        <f t="shared" si="96"/>
        <v>2</v>
      </c>
      <c r="H156" s="18" t="str">
        <f t="shared" si="97"/>
        <v>0.6</v>
      </c>
      <c r="I156" s="17">
        <f t="shared" si="88"/>
        <v>509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268</v>
      </c>
      <c r="B157" s="17" t="s">
        <v>94</v>
      </c>
      <c r="C157" s="17" t="s">
        <v>91</v>
      </c>
      <c r="D157" s="18">
        <f t="shared" si="93"/>
        <v>7</v>
      </c>
      <c r="E157" s="18" t="str">
        <f t="shared" si="94"/>
        <v>0.013,0.051,0.064,0.05,-0.05,0,0.05,0,0</v>
      </c>
      <c r="F157" s="18">
        <f t="shared" si="95"/>
        <v>5</v>
      </c>
      <c r="G157" s="18">
        <f t="shared" si="96"/>
        <v>3</v>
      </c>
      <c r="H157" s="18" t="str">
        <f t="shared" si="97"/>
        <v>0.7</v>
      </c>
      <c r="I157" s="17">
        <f t="shared" si="88"/>
        <v>920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269</v>
      </c>
      <c r="B158" s="17" t="s">
        <v>94</v>
      </c>
      <c r="C158" s="17" t="s">
        <v>91</v>
      </c>
      <c r="D158" s="18">
        <f t="shared" si="93"/>
        <v>10</v>
      </c>
      <c r="E158" s="18" t="str">
        <f t="shared" si="94"/>
        <v>0.014,0.043,0.086,0,-0.15,0,0.3,0,0</v>
      </c>
      <c r="F158" s="18">
        <f t="shared" si="95"/>
        <v>6</v>
      </c>
      <c r="G158" s="18">
        <f t="shared" si="96"/>
        <v>4</v>
      </c>
      <c r="H158" s="18" t="str">
        <f t="shared" si="97"/>
        <v>0.8</v>
      </c>
      <c r="I158" s="17">
        <f t="shared" si="88"/>
        <v>1498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270</v>
      </c>
      <c r="B159" s="17" t="s">
        <v>94</v>
      </c>
      <c r="C159" s="17" t="s">
        <v>91</v>
      </c>
      <c r="D159" s="18">
        <f t="shared" si="93"/>
        <v>12</v>
      </c>
      <c r="E159" s="18" t="str">
        <f t="shared" si="94"/>
        <v>0.064,0.064,0.032,0,-0.1,0,0.2,0,0</v>
      </c>
      <c r="F159" s="18">
        <f t="shared" si="95"/>
        <v>8</v>
      </c>
      <c r="G159" s="18">
        <f t="shared" si="96"/>
        <v>5</v>
      </c>
      <c r="H159" s="18" t="str">
        <f t="shared" si="97"/>
        <v>0.9</v>
      </c>
      <c r="I159" s="17">
        <f t="shared" si="88"/>
        <v>2149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271</v>
      </c>
      <c r="B160" s="17" t="s">
        <v>94</v>
      </c>
      <c r="C160" s="17" t="s">
        <v>91</v>
      </c>
      <c r="D160" s="18">
        <f t="shared" si="93"/>
        <v>14</v>
      </c>
      <c r="E160" s="18" t="str">
        <f t="shared" si="94"/>
        <v>0.088,0.07,0.018,0.05,-0.15,0,0.25,0,0</v>
      </c>
      <c r="F160" s="18">
        <f t="shared" si="95"/>
        <v>10</v>
      </c>
      <c r="G160" s="18">
        <f t="shared" si="96"/>
        <v>6</v>
      </c>
      <c r="H160" s="18" t="str">
        <f t="shared" si="97"/>
        <v>1</v>
      </c>
      <c r="I160" s="17">
        <f t="shared" si="88"/>
        <v>2920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272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0.03,0.023,0.023,0.05,-0.05,0,0,0,0</v>
      </c>
      <c r="F161" s="18">
        <f t="shared" si="95"/>
        <v>1</v>
      </c>
      <c r="G161" s="18">
        <f t="shared" si="96"/>
        <v>3</v>
      </c>
      <c r="H161" s="18" t="str">
        <f t="shared" si="97"/>
        <v>0.4</v>
      </c>
      <c r="I161" s="17">
        <f t="shared" si="88"/>
        <v>78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273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0.028,0.037,0.028,0.05,-0.05,0,0.05,0,0</v>
      </c>
      <c r="F162" s="18">
        <f t="shared" si="95"/>
        <v>2</v>
      </c>
      <c r="G162" s="18">
        <f t="shared" si="96"/>
        <v>6</v>
      </c>
      <c r="H162" s="18" t="str">
        <f t="shared" si="97"/>
        <v>0.48</v>
      </c>
      <c r="I162" s="17">
        <f t="shared" si="88"/>
        <v>276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274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0.032,0.054,0.022,0.15,-0.1,0,0.1,0,0</v>
      </c>
      <c r="F163" s="18">
        <f t="shared" si="95"/>
        <v>3</v>
      </c>
      <c r="G163" s="18">
        <f t="shared" si="96"/>
        <v>8</v>
      </c>
      <c r="H163" s="18" t="str">
        <f t="shared" si="97"/>
        <v>0.56</v>
      </c>
      <c r="I163" s="17">
        <f t="shared" si="88"/>
        <v>589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275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0.05,0.025,0.05,0.1,-0.05,0,0.1,0.05,0</v>
      </c>
      <c r="F164" s="18">
        <f t="shared" si="95"/>
        <v>4</v>
      </c>
      <c r="G164" s="18">
        <f t="shared" si="96"/>
        <v>10</v>
      </c>
      <c r="H164" s="18" t="str">
        <f t="shared" si="97"/>
        <v>0.64</v>
      </c>
      <c r="I164" s="17">
        <f t="shared" si="88"/>
        <v>1022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276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0.07,0.056,0.014,0.05,-0.05,0,0.05,0,0.1</v>
      </c>
      <c r="F165" s="18">
        <f t="shared" si="95"/>
        <v>5</v>
      </c>
      <c r="G165" s="18">
        <f t="shared" si="96"/>
        <v>12</v>
      </c>
      <c r="H165" s="18" t="str">
        <f t="shared" si="97"/>
        <v>0.72</v>
      </c>
      <c r="I165" s="17">
        <f t="shared" si="88"/>
        <v>1575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277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0.094,0.047,0.016,0.05,-0.15,0,0.1,0.05,0.1</v>
      </c>
      <c r="F166" s="18">
        <f t="shared" si="95"/>
        <v>6</v>
      </c>
      <c r="G166" s="18">
        <f t="shared" si="96"/>
        <v>14</v>
      </c>
      <c r="H166" s="18" t="str">
        <f t="shared" si="97"/>
        <v>0.8</v>
      </c>
      <c r="I166" s="17">
        <f t="shared" si="88"/>
        <v>2248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278</v>
      </c>
      <c r="B167" s="17" t="s">
        <v>94</v>
      </c>
      <c r="C167" s="17" t="s">
        <v>91</v>
      </c>
      <c r="D167" s="18">
        <f t="shared" si="93"/>
        <v>3</v>
      </c>
      <c r="E167" s="18" t="str">
        <f t="shared" si="94"/>
        <v>0.065,0.011,0.032,0,0,0,0,0,0</v>
      </c>
      <c r="F167" s="18">
        <f t="shared" si="95"/>
        <v>2</v>
      </c>
      <c r="G167" s="18">
        <f t="shared" si="96"/>
        <v>1</v>
      </c>
      <c r="H167" s="18" t="str">
        <f t="shared" si="97"/>
        <v>0.5</v>
      </c>
      <c r="I167" s="17">
        <f t="shared" si="88"/>
        <v>221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279</v>
      </c>
      <c r="B168" s="17" t="s">
        <v>94</v>
      </c>
      <c r="C168" s="17" t="s">
        <v>91</v>
      </c>
      <c r="D168" s="18">
        <f t="shared" si="93"/>
        <v>5</v>
      </c>
      <c r="E168" s="18" t="str">
        <f t="shared" si="94"/>
        <v>0.076,0.013,0.038,0,0,0,0,0,0</v>
      </c>
      <c r="F168" s="18">
        <f t="shared" si="95"/>
        <v>4</v>
      </c>
      <c r="G168" s="18">
        <f t="shared" si="96"/>
        <v>2</v>
      </c>
      <c r="H168" s="18" t="str">
        <f t="shared" si="97"/>
        <v>0.6</v>
      </c>
      <c r="I168" s="17">
        <f t="shared" si="88"/>
        <v>512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280</v>
      </c>
      <c r="B169" s="17" t="s">
        <v>94</v>
      </c>
      <c r="C169" s="17" t="s">
        <v>91</v>
      </c>
      <c r="D169" s="18">
        <f t="shared" si="93"/>
        <v>8</v>
      </c>
      <c r="E169" s="18" t="str">
        <f t="shared" si="94"/>
        <v>0.072,0.014,0.058,0,0,0,0,0,0</v>
      </c>
      <c r="F169" s="18">
        <f t="shared" si="95"/>
        <v>5</v>
      </c>
      <c r="G169" s="18">
        <f t="shared" si="96"/>
        <v>3</v>
      </c>
      <c r="H169" s="18" t="str">
        <f t="shared" si="97"/>
        <v>0.7</v>
      </c>
      <c r="I169" s="17">
        <f t="shared" si="88"/>
        <v>970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281</v>
      </c>
      <c r="B170" s="17" t="s">
        <v>94</v>
      </c>
      <c r="C170" s="17" t="s">
        <v>91</v>
      </c>
      <c r="D170" s="18">
        <f t="shared" si="93"/>
        <v>11</v>
      </c>
      <c r="E170" s="18" t="str">
        <f t="shared" si="94"/>
        <v>0.097,0.016,0.049,0,0,0,-0.05,0,0.1</v>
      </c>
      <c r="F170" s="18">
        <f t="shared" si="95"/>
        <v>7</v>
      </c>
      <c r="G170" s="18">
        <f t="shared" si="96"/>
        <v>4</v>
      </c>
      <c r="H170" s="18" t="str">
        <f t="shared" si="97"/>
        <v>0.8</v>
      </c>
      <c r="I170" s="17">
        <f t="shared" si="88"/>
        <v>1551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282</v>
      </c>
      <c r="B171" s="17" t="s">
        <v>94</v>
      </c>
      <c r="C171" s="17" t="s">
        <v>91</v>
      </c>
      <c r="D171" s="18">
        <f t="shared" si="93"/>
        <v>14</v>
      </c>
      <c r="E171" s="18" t="str">
        <f t="shared" si="94"/>
        <v>0.072,0.036,0.072,0,0,0,-0.1,0.05,0.15</v>
      </c>
      <c r="F171" s="18">
        <f t="shared" si="95"/>
        <v>9</v>
      </c>
      <c r="G171" s="18">
        <f t="shared" si="96"/>
        <v>5</v>
      </c>
      <c r="H171" s="18" t="str">
        <f t="shared" si="97"/>
        <v>0.9</v>
      </c>
      <c r="I171" s="17">
        <f t="shared" si="88"/>
        <v>2252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283</v>
      </c>
      <c r="B172" s="17" t="s">
        <v>94</v>
      </c>
      <c r="C172" s="17" t="s">
        <v>91</v>
      </c>
      <c r="D172" s="18">
        <f t="shared" si="93"/>
        <v>16</v>
      </c>
      <c r="E172" s="18" t="str">
        <f t="shared" si="94"/>
        <v>0.079,0.059,0.059,0,0,0,-0.15,0.15,0.15</v>
      </c>
      <c r="F172" s="18">
        <f t="shared" si="95"/>
        <v>11</v>
      </c>
      <c r="G172" s="18">
        <f t="shared" si="96"/>
        <v>6</v>
      </c>
      <c r="H172" s="18" t="str">
        <f t="shared" si="97"/>
        <v>1</v>
      </c>
      <c r="I172" s="17">
        <f t="shared" si="88"/>
        <v>3023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284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0.026,0.017,0.043,0,0.05,0.05,0,0,0</v>
      </c>
      <c r="F173" s="18">
        <f t="shared" si="95"/>
        <v>1</v>
      </c>
      <c r="G173" s="18">
        <f t="shared" si="96"/>
        <v>4</v>
      </c>
      <c r="H173" s="18" t="str">
        <f t="shared" si="97"/>
        <v>0.15</v>
      </c>
      <c r="I173" s="17">
        <f t="shared" si="88"/>
        <v>83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285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0.041,0.01,0.052,0,0.05,0,0,0,0</v>
      </c>
      <c r="F174" s="18">
        <f t="shared" si="95"/>
        <v>2</v>
      </c>
      <c r="G174" s="18">
        <f t="shared" si="96"/>
        <v>7</v>
      </c>
      <c r="H174" s="18" t="str">
        <f t="shared" si="97"/>
        <v>0.18</v>
      </c>
      <c r="I174" s="17">
        <f t="shared" si="88"/>
        <v>281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286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0.036,0.049,0.036,0,0.05,0,0,0,0</v>
      </c>
      <c r="F175" s="18">
        <f t="shared" si="95"/>
        <v>3</v>
      </c>
      <c r="G175" s="18">
        <f t="shared" si="96"/>
        <v>10</v>
      </c>
      <c r="H175" s="18" t="str">
        <f t="shared" si="97"/>
        <v>0.21</v>
      </c>
      <c r="I175" s="17">
        <f t="shared" si="88"/>
        <v>599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287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0.042,0.042,0.056,0.05,0.05,0.05,-0.1,-0.15,0.25</v>
      </c>
      <c r="F176" s="18">
        <f t="shared" si="95"/>
        <v>4</v>
      </c>
      <c r="G176" s="18">
        <f t="shared" si="96"/>
        <v>13</v>
      </c>
      <c r="H176" s="18" t="str">
        <f t="shared" si="97"/>
        <v>0.24</v>
      </c>
      <c r="I176" s="17">
        <f t="shared" si="88"/>
        <v>1037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288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0.055,0.055,0.047,0.1,0,0,-0.05,0.05,0</v>
      </c>
      <c r="F177" s="18">
        <f t="shared" si="95"/>
        <v>5</v>
      </c>
      <c r="G177" s="18">
        <f t="shared" si="96"/>
        <v>15</v>
      </c>
      <c r="H177" s="18" t="str">
        <f t="shared" si="97"/>
        <v>0.27</v>
      </c>
      <c r="I177" s="17">
        <f t="shared" si="88"/>
        <v>1590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289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0.07,0.053,0.053,0.1,0.1,0.1,-0.1,0.05,-0.15</v>
      </c>
      <c r="F178" s="18">
        <f t="shared" si="95"/>
        <v>6</v>
      </c>
      <c r="G178" s="18">
        <f t="shared" si="96"/>
        <v>18</v>
      </c>
      <c r="H178" s="18" t="str">
        <f t="shared" si="97"/>
        <v>0.3</v>
      </c>
      <c r="I178" s="17">
        <f t="shared" si="88"/>
        <v>2268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290</v>
      </c>
      <c r="B179" s="17" t="s">
        <v>94</v>
      </c>
      <c r="C179" s="17" t="s">
        <v>91</v>
      </c>
      <c r="D179" s="18">
        <f t="shared" si="93"/>
        <v>3</v>
      </c>
      <c r="E179" s="18" t="str">
        <f t="shared" si="94"/>
        <v>0.058,0.043,0.043,0.05,0,0,0,0,0</v>
      </c>
      <c r="F179" s="18">
        <f t="shared" si="95"/>
        <v>2</v>
      </c>
      <c r="G179" s="18">
        <f t="shared" si="96"/>
        <v>1</v>
      </c>
      <c r="H179" s="18" t="str">
        <f t="shared" si="97"/>
        <v>0.5</v>
      </c>
      <c r="I179" s="17">
        <f t="shared" si="88"/>
        <v>221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291</v>
      </c>
      <c r="B180" s="17" t="s">
        <v>94</v>
      </c>
      <c r="C180" s="17" t="s">
        <v>91</v>
      </c>
      <c r="D180" s="18">
        <f t="shared" si="93"/>
        <v>7</v>
      </c>
      <c r="E180" s="18" t="str">
        <f t="shared" si="94"/>
        <v>0.084,0.034,0.05,0.05,0,0,0,-0.05,0.05</v>
      </c>
      <c r="F180" s="18">
        <f t="shared" si="95"/>
        <v>4</v>
      </c>
      <c r="G180" s="18">
        <f t="shared" si="96"/>
        <v>2</v>
      </c>
      <c r="H180" s="18" t="str">
        <f t="shared" si="97"/>
        <v>0.6</v>
      </c>
      <c r="I180" s="17">
        <f t="shared" si="88"/>
        <v>612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292</v>
      </c>
      <c r="B181" s="17" t="s">
        <v>94</v>
      </c>
      <c r="C181" s="17" t="s">
        <v>91</v>
      </c>
      <c r="D181" s="18">
        <f t="shared" si="93"/>
        <v>10</v>
      </c>
      <c r="E181" s="18" t="str">
        <f t="shared" si="94"/>
        <v>0.096,0.038,0.058,0,0,-0.05,0,0,0.1</v>
      </c>
      <c r="F181" s="18">
        <f t="shared" si="95"/>
        <v>7</v>
      </c>
      <c r="G181" s="18">
        <f t="shared" si="96"/>
        <v>3</v>
      </c>
      <c r="H181" s="18" t="str">
        <f t="shared" si="97"/>
        <v>0.7</v>
      </c>
      <c r="I181" s="17">
        <f t="shared" si="88"/>
        <v>1076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293</v>
      </c>
      <c r="B182" s="17" t="s">
        <v>94</v>
      </c>
      <c r="C182" s="17" t="s">
        <v>91</v>
      </c>
      <c r="D182" s="18">
        <f t="shared" si="93"/>
        <v>13</v>
      </c>
      <c r="E182" s="18" t="str">
        <f t="shared" si="94"/>
        <v>0.108,0.043,0.065,0,0,-0.05,0,-0.05,0.15</v>
      </c>
      <c r="F182" s="18">
        <f t="shared" si="95"/>
        <v>9</v>
      </c>
      <c r="G182" s="18">
        <f t="shared" si="96"/>
        <v>4</v>
      </c>
      <c r="H182" s="18" t="str">
        <f t="shared" si="97"/>
        <v>0.8</v>
      </c>
      <c r="I182" s="17">
        <f t="shared" si="88"/>
        <v>1657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481</v>
      </c>
      <c r="B183" s="17" t="s">
        <v>94</v>
      </c>
      <c r="C183" s="17" t="s">
        <v>91</v>
      </c>
      <c r="D183" s="18">
        <f t="shared" si="93"/>
        <v>16</v>
      </c>
      <c r="E183" s="18" t="str">
        <f t="shared" si="94"/>
        <v>0.144,0.048,0.048,0.05,0,-0.1,0,-0.1,0.2</v>
      </c>
      <c r="F183" s="18">
        <f t="shared" si="95"/>
        <v>11</v>
      </c>
      <c r="G183" s="18">
        <f t="shared" si="96"/>
        <v>5</v>
      </c>
      <c r="H183" s="18" t="str">
        <f t="shared" si="97"/>
        <v>0.9</v>
      </c>
      <c r="I183" s="17">
        <f t="shared" si="88"/>
        <v>2358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294</v>
      </c>
      <c r="B184" s="17" t="s">
        <v>94</v>
      </c>
      <c r="C184" s="17" t="s">
        <v>91</v>
      </c>
      <c r="D184" s="18">
        <f t="shared" si="93"/>
        <v>20</v>
      </c>
      <c r="E184" s="18" t="str">
        <f t="shared" si="94"/>
        <v>0.158,0.026,0.079,0.15,0,-0.05,-0.05,-0.05,0.2</v>
      </c>
      <c r="F184" s="18">
        <f t="shared" si="95"/>
        <v>13</v>
      </c>
      <c r="G184" s="18">
        <f t="shared" si="96"/>
        <v>6</v>
      </c>
      <c r="H184" s="18" t="str">
        <f t="shared" si="97"/>
        <v>1</v>
      </c>
      <c r="I184" s="17">
        <f t="shared" si="88"/>
        <v>3229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299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0.034,0.057,0.023,0.05,0,0,0,0,0</v>
      </c>
      <c r="F185" s="18">
        <f t="shared" si="95"/>
        <v>1</v>
      </c>
      <c r="G185" s="18">
        <f t="shared" si="96"/>
        <v>3</v>
      </c>
      <c r="H185" s="18" t="str">
        <f t="shared" si="97"/>
        <v>-0.5</v>
      </c>
      <c r="I185" s="17">
        <f t="shared" si="88"/>
        <v>78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300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0.055,0.041,0.041,0.05,0,0,0,0,0.05</v>
      </c>
      <c r="F186" s="18">
        <f t="shared" si="95"/>
        <v>2</v>
      </c>
      <c r="G186" s="18">
        <f t="shared" si="96"/>
        <v>4</v>
      </c>
      <c r="H186" s="18" t="str">
        <f t="shared" si="97"/>
        <v>-0.6</v>
      </c>
      <c r="I186" s="17">
        <f t="shared" si="88"/>
        <v>266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302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0.016,0.065,0.081,0,0,0,0,0,0.1</v>
      </c>
      <c r="F187" s="18">
        <f t="shared" si="95"/>
        <v>3</v>
      </c>
      <c r="G187" s="18">
        <f t="shared" si="96"/>
        <v>6</v>
      </c>
      <c r="H187" s="18" t="str">
        <f t="shared" si="97"/>
        <v>-0.7</v>
      </c>
      <c r="I187" s="17">
        <f t="shared" si="88"/>
        <v>579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303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0.037,0.074,0.074,0,0.05,0,0.05,-0.05,0.1</v>
      </c>
      <c r="F188" s="18">
        <f t="shared" si="95"/>
        <v>4</v>
      </c>
      <c r="G188" s="18">
        <f t="shared" si="96"/>
        <v>8</v>
      </c>
      <c r="H188" s="18" t="str">
        <f t="shared" si="97"/>
        <v>-0.8</v>
      </c>
      <c r="I188" s="17">
        <f t="shared" si="88"/>
        <v>1012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304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0.084,0.042,0.084,0,0.05,0.05,0.05,-0.1,0.1</v>
      </c>
      <c r="F189" s="18">
        <f t="shared" si="95"/>
        <v>5</v>
      </c>
      <c r="G189" s="18">
        <f t="shared" si="96"/>
        <v>10</v>
      </c>
      <c r="H189" s="18" t="str">
        <f t="shared" si="97"/>
        <v>-0.9</v>
      </c>
      <c r="I189" s="17">
        <f t="shared" si="88"/>
        <v>1565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305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0.07,0.094,0.07,0.05,0.05,0.05,0.1,-0.1,0.15</v>
      </c>
      <c r="F190" s="18">
        <f t="shared" si="95"/>
        <v>6</v>
      </c>
      <c r="G190" s="18">
        <f t="shared" si="96"/>
        <v>12</v>
      </c>
      <c r="H190" s="18" t="str">
        <f t="shared" si="97"/>
        <v>-1</v>
      </c>
      <c r="I190" s="17">
        <f t="shared" si="88"/>
        <v>2238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306</v>
      </c>
      <c r="B191" s="17" t="s">
        <v>94</v>
      </c>
      <c r="C191" s="17" t="s">
        <v>91</v>
      </c>
      <c r="D191" s="18">
        <f t="shared" si="93"/>
        <v>4</v>
      </c>
      <c r="E191" s="18" t="str">
        <f t="shared" si="94"/>
        <v>0.066,0.026,0.04,0,0.025,0,0,0,0</v>
      </c>
      <c r="F191" s="18">
        <f t="shared" si="95"/>
        <v>2</v>
      </c>
      <c r="G191" s="18">
        <f t="shared" si="96"/>
        <v>1</v>
      </c>
      <c r="H191" s="18" t="str">
        <f t="shared" si="97"/>
        <v>0.5</v>
      </c>
      <c r="I191" s="17">
        <f t="shared" si="88"/>
        <v>271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307</v>
      </c>
      <c r="B192" s="17" t="s">
        <v>94</v>
      </c>
      <c r="C192" s="17" t="s">
        <v>91</v>
      </c>
      <c r="D192" s="18">
        <f t="shared" si="93"/>
        <v>7</v>
      </c>
      <c r="E192" s="18" t="str">
        <f t="shared" si="94"/>
        <v>0.077,0.046,0.031,-0.05,0.075,0,0,0,0</v>
      </c>
      <c r="F192" s="18">
        <f t="shared" si="95"/>
        <v>5</v>
      </c>
      <c r="G192" s="18">
        <f t="shared" si="96"/>
        <v>2</v>
      </c>
      <c r="H192" s="18" t="str">
        <f t="shared" si="97"/>
        <v>0.6</v>
      </c>
      <c r="I192" s="17">
        <f t="shared" si="88"/>
        <v>615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308</v>
      </c>
      <c r="B193" s="17" t="s">
        <v>94</v>
      </c>
      <c r="C193" s="17" t="s">
        <v>91</v>
      </c>
      <c r="D193" s="18">
        <f t="shared" si="93"/>
        <v>11</v>
      </c>
      <c r="E193" s="18" t="str">
        <f t="shared" si="94"/>
        <v>0.088,0.07,0.018,0,0.1,-0.1,0,0,0</v>
      </c>
      <c r="F193" s="18">
        <f t="shared" si="95"/>
        <v>7</v>
      </c>
      <c r="G193" s="18">
        <f t="shared" si="96"/>
        <v>3</v>
      </c>
      <c r="H193" s="18" t="str">
        <f t="shared" si="97"/>
        <v>0.7</v>
      </c>
      <c r="I193" s="17">
        <f t="shared" si="88"/>
        <v>1126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309</v>
      </c>
      <c r="B194" s="17" t="s">
        <v>94</v>
      </c>
      <c r="C194" s="17" t="s">
        <v>91</v>
      </c>
      <c r="D194" s="18">
        <f t="shared" si="93"/>
        <v>14</v>
      </c>
      <c r="E194" s="18" t="str">
        <f t="shared" si="94"/>
        <v>0.079,0.04,0.079,-0.05,0.15,-0.05,0,0,0</v>
      </c>
      <c r="F194" s="18">
        <f t="shared" si="95"/>
        <v>10</v>
      </c>
      <c r="G194" s="18">
        <f t="shared" si="96"/>
        <v>4</v>
      </c>
      <c r="H194" s="18" t="str">
        <f t="shared" si="97"/>
        <v>0.8</v>
      </c>
      <c r="I194" s="17">
        <f t="shared" si="88"/>
        <v>1710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310</v>
      </c>
      <c r="B195" s="17" t="s">
        <v>94</v>
      </c>
      <c r="C195" s="17" t="s">
        <v>91</v>
      </c>
      <c r="D195" s="18">
        <f t="shared" si="93"/>
        <v>18</v>
      </c>
      <c r="E195" s="18" t="str">
        <f t="shared" si="94"/>
        <v>0.132,0.044,0.044,-0.1,0.1,0,0.1,0,0</v>
      </c>
      <c r="F195" s="18">
        <f t="shared" si="95"/>
        <v>12</v>
      </c>
      <c r="G195" s="18">
        <f t="shared" si="96"/>
        <v>5</v>
      </c>
      <c r="H195" s="18" t="str">
        <f t="shared" si="97"/>
        <v>0.9</v>
      </c>
      <c r="I195" s="17">
        <f t="shared" si="88"/>
        <v>2461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311</v>
      </c>
      <c r="B196" s="17" t="s">
        <v>94</v>
      </c>
      <c r="C196" s="17" t="s">
        <v>91</v>
      </c>
      <c r="D196" s="18">
        <f t="shared" si="93"/>
        <v>22</v>
      </c>
      <c r="E196" s="18" t="str">
        <f t="shared" si="94"/>
        <v>0.121,0.073,0.048,-0.1,0.1,0,0.1,0.15,-0.15</v>
      </c>
      <c r="F196" s="18">
        <f t="shared" si="95"/>
        <v>14</v>
      </c>
      <c r="G196" s="18">
        <f t="shared" si="96"/>
        <v>6</v>
      </c>
      <c r="H196" s="18" t="str">
        <f t="shared" si="97"/>
        <v>1</v>
      </c>
      <c r="I196" s="17">
        <f t="shared" si="88"/>
        <v>3332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295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0.031,0.052,0.021,0,0.1,0,0,0,0</v>
      </c>
      <c r="F197" s="18">
        <f t="shared" si="95"/>
        <v>1</v>
      </c>
      <c r="G197" s="18">
        <f t="shared" si="96"/>
        <v>2</v>
      </c>
      <c r="H197" s="18" t="str">
        <f t="shared" si="97"/>
        <v>-0.6</v>
      </c>
      <c r="I197" s="17">
        <f t="shared" si="88"/>
        <v>73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296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0.051,0.051,0.025,0,0.1,0,0,0,0</v>
      </c>
      <c r="F198" s="18">
        <f t="shared" si="95"/>
        <v>2</v>
      </c>
      <c r="G198" s="18">
        <f t="shared" si="96"/>
        <v>3</v>
      </c>
      <c r="H198" s="18" t="str">
        <f t="shared" si="97"/>
        <v>-0.72</v>
      </c>
      <c r="I198" s="17">
        <f t="shared" si="88"/>
        <v>261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312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0.03,0.074,0.045,-0.05,0.1,0,0,0,0</v>
      </c>
      <c r="F199" s="18">
        <f t="shared" si="95"/>
        <v>3</v>
      </c>
      <c r="G199" s="18">
        <f t="shared" si="96"/>
        <v>4</v>
      </c>
      <c r="H199" s="18" t="str">
        <f t="shared" si="97"/>
        <v>-0.84</v>
      </c>
      <c r="I199" s="17">
        <f t="shared" si="88"/>
        <v>569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313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0.051,0.085,0.034,-0.1,0.15,0,0,0,0</v>
      </c>
      <c r="F200" s="18">
        <f t="shared" si="95"/>
        <v>4</v>
      </c>
      <c r="G200" s="18">
        <f t="shared" si="96"/>
        <v>5</v>
      </c>
      <c r="H200" s="18" t="str">
        <f t="shared" si="97"/>
        <v>-0.96</v>
      </c>
      <c r="I200" s="17">
        <f t="shared" si="88"/>
        <v>997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314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0.077,0.058,0.058,-0.15,0.25,0,0,-0.05,0</v>
      </c>
      <c r="F201" s="18">
        <f t="shared" si="95"/>
        <v>5</v>
      </c>
      <c r="G201" s="18">
        <f t="shared" si="96"/>
        <v>7</v>
      </c>
      <c r="H201" s="18" t="str">
        <f t="shared" si="97"/>
        <v>-1.08</v>
      </c>
      <c r="I201" s="17">
        <f t="shared" si="88"/>
        <v>1550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315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0.086,0.086,0.043,-0.3,0.4,0,0,-0.05,0</v>
      </c>
      <c r="F202" s="18">
        <f t="shared" si="95"/>
        <v>6</v>
      </c>
      <c r="G202" s="18">
        <f t="shared" si="96"/>
        <v>8</v>
      </c>
      <c r="H202" s="18" t="str">
        <f t="shared" si="97"/>
        <v>-1.2</v>
      </c>
      <c r="I202" s="17">
        <f t="shared" si="88"/>
        <v>2218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420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0.014,0.014,0.019,0,0,0,0,0,0</v>
      </c>
      <c r="F203" s="18">
        <f t="shared" si="95"/>
        <v>1</v>
      </c>
      <c r="G203" s="18">
        <f t="shared" si="96"/>
        <v>4</v>
      </c>
      <c r="H203" s="18" t="str">
        <f t="shared" si="97"/>
        <v>-0.5</v>
      </c>
      <c r="I203" s="17">
        <f>M203*M203*120+F203*3+G203*5+D203*50</f>
        <v>143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423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0.017,0.017,0.023,0,0,0,0,0,0</v>
      </c>
      <c r="F204" s="18">
        <f t="shared" si="95"/>
        <v>2</v>
      </c>
      <c r="G204" s="18">
        <f t="shared" si="96"/>
        <v>6</v>
      </c>
      <c r="H204" s="18" t="str">
        <f t="shared" si="97"/>
        <v>-0.6</v>
      </c>
      <c r="I204" s="17">
        <f t="shared" ref="I204:I211" si="150">M204*M204*120+F204*3+G204*5+D204*50</f>
        <v>516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421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0.02,0.02,0.027,0,0,0,0,0,0</v>
      </c>
      <c r="F205" s="18">
        <f t="shared" si="95"/>
        <v>3</v>
      </c>
      <c r="G205" s="18">
        <f t="shared" si="96"/>
        <v>8</v>
      </c>
      <c r="H205" s="18" t="str">
        <f t="shared" si="97"/>
        <v>-0.7</v>
      </c>
      <c r="I205" s="17">
        <f t="shared" si="150"/>
        <v>1129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422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0.023,0.023,0.031,0,0,0,0,0,0</v>
      </c>
      <c r="F206" s="18">
        <f t="shared" si="95"/>
        <v>4</v>
      </c>
      <c r="G206" s="18">
        <f t="shared" si="96"/>
        <v>11</v>
      </c>
      <c r="H206" s="18" t="str">
        <f t="shared" si="97"/>
        <v>-0.8</v>
      </c>
      <c r="I206" s="17">
        <f t="shared" si="150"/>
        <v>1987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424</v>
      </c>
      <c r="B207" s="17" t="s">
        <v>97</v>
      </c>
      <c r="C207" s="17" t="s">
        <v>91</v>
      </c>
      <c r="D207" s="18">
        <f t="shared" si="93"/>
        <v>18</v>
      </c>
      <c r="E207" s="18" t="str">
        <f t="shared" si="94"/>
        <v>0.033,0.033,0.044,0,0,0,0,0,0</v>
      </c>
      <c r="F207" s="18">
        <f t="shared" si="95"/>
        <v>12</v>
      </c>
      <c r="G207" s="18">
        <f t="shared" si="96"/>
        <v>6</v>
      </c>
      <c r="H207" s="18" t="str">
        <f t="shared" si="97"/>
        <v>1</v>
      </c>
      <c r="I207" s="17">
        <f t="shared" si="150"/>
        <v>5286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425</v>
      </c>
      <c r="B208" s="17" t="s">
        <v>97</v>
      </c>
      <c r="C208" s="17" t="s">
        <v>91</v>
      </c>
      <c r="D208" s="18">
        <f t="shared" si="93"/>
        <v>18</v>
      </c>
      <c r="E208" s="18" t="str">
        <f t="shared" si="94"/>
        <v>0.055,0.022,0.033,0,0,0,0,0.1,-0.125</v>
      </c>
      <c r="F208" s="18">
        <f t="shared" si="95"/>
        <v>12</v>
      </c>
      <c r="G208" s="18">
        <f t="shared" si="96"/>
        <v>6</v>
      </c>
      <c r="H208" s="18" t="str">
        <f t="shared" si="97"/>
        <v>1</v>
      </c>
      <c r="I208" s="17">
        <f t="shared" si="150"/>
        <v>5286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426</v>
      </c>
      <c r="B209" s="17" t="s">
        <v>97</v>
      </c>
      <c r="C209" s="17" t="s">
        <v>91</v>
      </c>
      <c r="D209" s="18">
        <f t="shared" si="93"/>
        <v>18</v>
      </c>
      <c r="E209" s="18" t="str">
        <f t="shared" si="94"/>
        <v>0.022,0.022,0.066,0,0,0,0,0,0</v>
      </c>
      <c r="F209" s="18">
        <f t="shared" si="95"/>
        <v>12</v>
      </c>
      <c r="G209" s="18">
        <f t="shared" si="96"/>
        <v>6</v>
      </c>
      <c r="H209" s="18" t="str">
        <f t="shared" si="97"/>
        <v>1</v>
      </c>
      <c r="I209" s="17">
        <f t="shared" si="150"/>
        <v>5286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427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0.029,0.01,0.058,0,0,0,0.075,0,0</v>
      </c>
      <c r="F210" s="18">
        <f t="shared" si="95"/>
        <v>6</v>
      </c>
      <c r="G210" s="18">
        <f t="shared" si="96"/>
        <v>16</v>
      </c>
      <c r="H210" s="18" t="str">
        <f t="shared" si="97"/>
        <v>-1</v>
      </c>
      <c r="I210" s="17">
        <f t="shared" si="150"/>
        <v>4418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428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0.029,0.029,0.039,0.025,0.025,0.025,0,0,0.025</v>
      </c>
      <c r="F211" s="18">
        <f t="shared" si="95"/>
        <v>6</v>
      </c>
      <c r="G211" s="18">
        <f t="shared" si="96"/>
        <v>16</v>
      </c>
      <c r="H211" s="18" t="str">
        <f t="shared" si="97"/>
        <v>-1</v>
      </c>
      <c r="I211" s="17">
        <f t="shared" si="150"/>
        <v>4418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429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0.021,0.016,0.016,0,0,0,0,0.15,-0.1</v>
      </c>
      <c r="F212" s="18">
        <f t="shared" si="95"/>
        <v>1</v>
      </c>
      <c r="G212" s="18">
        <f t="shared" si="96"/>
        <v>2</v>
      </c>
      <c r="H212" s="18" t="str">
        <f t="shared" si="97"/>
        <v>-0.6</v>
      </c>
      <c r="I212" s="17">
        <f>M212*M212*80+F212*3+G212*5+D212*50</f>
        <v>93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430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0.019,0.013,0.032,0,0,0,0.075,0.1,-0.05</v>
      </c>
      <c r="F213" s="18">
        <f t="shared" si="95"/>
        <v>2</v>
      </c>
      <c r="G213" s="18">
        <f t="shared" si="96"/>
        <v>3</v>
      </c>
      <c r="H213" s="18" t="str">
        <f t="shared" si="97"/>
        <v>-0.72</v>
      </c>
      <c r="I213" s="17">
        <f t="shared" ref="I213:I229" si="160">M213*M213*80+F213*3+G213*5+D213*50</f>
        <v>341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431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0.026,0.026,0.022,0.05,0.05,0.05,0,0.125,-0.25</v>
      </c>
      <c r="F214" s="18">
        <f t="shared" si="95"/>
        <v>3</v>
      </c>
      <c r="G214" s="18">
        <f t="shared" si="96"/>
        <v>4</v>
      </c>
      <c r="H214" s="18" t="str">
        <f t="shared" si="97"/>
        <v>-0.84</v>
      </c>
      <c r="I214" s="17">
        <f t="shared" si="160"/>
        <v>749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432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0.026,0.043,0.017,0.025,0.013,0,0.05,0,0</v>
      </c>
      <c r="F215" s="18">
        <f t="shared" si="95"/>
        <v>4</v>
      </c>
      <c r="G215" s="18">
        <f t="shared" si="96"/>
        <v>5</v>
      </c>
      <c r="H215" s="18" t="str">
        <f t="shared" si="97"/>
        <v>-0.96</v>
      </c>
      <c r="I215" s="17">
        <f t="shared" si="160"/>
        <v>1317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433</v>
      </c>
      <c r="B216" s="17" t="s">
        <v>93</v>
      </c>
      <c r="C216" s="17" t="s">
        <v>91</v>
      </c>
      <c r="D216" s="18">
        <f t="shared" ref="D216:D253" si="164">ARMOR_DEFENSE(C216,L216,M216,1)</f>
        <v>18</v>
      </c>
      <c r="E216" s="18" t="str">
        <f t="shared" ref="E216:E247" si="165">ARMOR_RESIST(C216,L216,M216,N216,O216,P216,Q216,R216,S216,T216,U216,V216,1)</f>
        <v>0.022,0.055,0.033,0.025,0.025,0,0,0.05,0</v>
      </c>
      <c r="F216" s="18">
        <f t="shared" ref="F216:F234" si="166">ARMOR_HP(C216,L216,M216)</f>
        <v>12</v>
      </c>
      <c r="G216" s="18">
        <f t="shared" ref="G216:G234" si="167">ARMOR_SP(C216,L216,M216)</f>
        <v>5</v>
      </c>
      <c r="H216" s="18" t="str">
        <f t="shared" ref="H216:H238" si="168">ARMOR_SPEED(C216,L216,M216)</f>
        <v>0.9</v>
      </c>
      <c r="I216" s="17">
        <f t="shared" si="160"/>
        <v>2961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434</v>
      </c>
      <c r="B217" s="17" t="s">
        <v>93</v>
      </c>
      <c r="C217" s="17" t="s">
        <v>91</v>
      </c>
      <c r="D217" s="18">
        <f t="shared" si="164"/>
        <v>22</v>
      </c>
      <c r="E217" s="18" t="str">
        <f t="shared" si="165"/>
        <v>0.012,0.048,0.06,0.025,-0.025,0,0.025,0,0</v>
      </c>
      <c r="F217" s="18">
        <f t="shared" si="166"/>
        <v>14</v>
      </c>
      <c r="G217" s="18">
        <f t="shared" si="167"/>
        <v>6</v>
      </c>
      <c r="H217" s="18" t="str">
        <f t="shared" si="168"/>
        <v>1</v>
      </c>
      <c r="I217" s="17">
        <f t="shared" si="160"/>
        <v>4052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435</v>
      </c>
      <c r="B218" s="17" t="s">
        <v>93</v>
      </c>
      <c r="C218" s="17" t="s">
        <v>91</v>
      </c>
      <c r="D218" s="18">
        <f t="shared" si="164"/>
        <v>4</v>
      </c>
      <c r="E218" s="18" t="str">
        <f t="shared" si="165"/>
        <v>0.007,0.02,0.04,0,-0.075,0,0.15,0,0</v>
      </c>
      <c r="F218" s="18">
        <f t="shared" si="166"/>
        <v>2</v>
      </c>
      <c r="G218" s="18">
        <f t="shared" si="167"/>
        <v>1</v>
      </c>
      <c r="H218" s="18" t="str">
        <f t="shared" si="168"/>
        <v>0.5</v>
      </c>
      <c r="I218" s="17">
        <f t="shared" si="160"/>
        <v>291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436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0.025,0.025,0.013,0,-0.05,0,0.1,0,0</v>
      </c>
      <c r="F219" s="18">
        <f t="shared" si="166"/>
        <v>2</v>
      </c>
      <c r="G219" s="18">
        <f t="shared" si="167"/>
        <v>3</v>
      </c>
      <c r="H219" s="18" t="str">
        <f t="shared" si="168"/>
        <v>-0.72</v>
      </c>
      <c r="I219" s="17">
        <f t="shared" si="160"/>
        <v>341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437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0.037,0.03,0.007,0.025,-0.075,0,0.125,0,0</v>
      </c>
      <c r="F220" s="18">
        <f t="shared" si="166"/>
        <v>3</v>
      </c>
      <c r="G220" s="18">
        <f t="shared" si="167"/>
        <v>4</v>
      </c>
      <c r="H220" s="18" t="str">
        <f t="shared" si="168"/>
        <v>-0.84</v>
      </c>
      <c r="I220" s="17">
        <f t="shared" si="160"/>
        <v>749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438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0.021,0.016,0.016,0.025,-0.025,0,0,0,0</v>
      </c>
      <c r="F221" s="18">
        <f t="shared" si="166"/>
        <v>1</v>
      </c>
      <c r="G221" s="18">
        <f t="shared" si="167"/>
        <v>2</v>
      </c>
      <c r="H221" s="18" t="str">
        <f t="shared" si="168"/>
        <v>-0.6</v>
      </c>
      <c r="I221" s="17">
        <f t="shared" si="160"/>
        <v>93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439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0.019,0.025,0.019,0.025,-0.025,0,0.025,0,0</v>
      </c>
      <c r="F222" s="18">
        <f t="shared" si="166"/>
        <v>2</v>
      </c>
      <c r="G222" s="18">
        <f t="shared" si="167"/>
        <v>3</v>
      </c>
      <c r="H222" s="18" t="str">
        <f t="shared" si="168"/>
        <v>-0.72</v>
      </c>
      <c r="I222" s="17">
        <f t="shared" si="160"/>
        <v>341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291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0.022,0.037,0.015,0.075,-0.05,0,0.05,0,0</v>
      </c>
      <c r="F223" s="18">
        <f t="shared" si="166"/>
        <v>3</v>
      </c>
      <c r="G223" s="18">
        <f t="shared" si="167"/>
        <v>4</v>
      </c>
      <c r="H223" s="18" t="str">
        <f t="shared" si="168"/>
        <v>-0.84</v>
      </c>
      <c r="I223" s="17">
        <f t="shared" si="160"/>
        <v>749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440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0.034,0.017,0.034,0.05,-0.025,0,0.05,0.025,0</v>
      </c>
      <c r="F224" s="18">
        <f t="shared" si="166"/>
        <v>4</v>
      </c>
      <c r="G224" s="18">
        <f t="shared" si="167"/>
        <v>5</v>
      </c>
      <c r="H224" s="18" t="str">
        <f t="shared" si="168"/>
        <v>-0.96</v>
      </c>
      <c r="I224" s="17">
        <f t="shared" si="160"/>
        <v>1317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441</v>
      </c>
      <c r="B225" s="17" t="s">
        <v>94</v>
      </c>
      <c r="C225" s="17" t="s">
        <v>91</v>
      </c>
      <c r="D225" s="18">
        <f t="shared" si="164"/>
        <v>18</v>
      </c>
      <c r="E225" s="18" t="str">
        <f t="shared" si="165"/>
        <v>0.055,0.044,0.011,0.025,-0.025,0,0.025,0,0.05</v>
      </c>
      <c r="F225" s="18">
        <f t="shared" si="166"/>
        <v>12</v>
      </c>
      <c r="G225" s="18">
        <f t="shared" si="167"/>
        <v>5</v>
      </c>
      <c r="H225" s="18" t="str">
        <f t="shared" si="168"/>
        <v>0.9</v>
      </c>
      <c r="I225" s="17">
        <f t="shared" si="160"/>
        <v>2961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442</v>
      </c>
      <c r="B226" s="17" t="s">
        <v>94</v>
      </c>
      <c r="C226" s="17" t="s">
        <v>91</v>
      </c>
      <c r="D226" s="18">
        <f t="shared" si="164"/>
        <v>22</v>
      </c>
      <c r="E226" s="18" t="str">
        <f t="shared" si="165"/>
        <v>0.073,0.036,0.012,0.025,-0.075,0,0.05,0.025,0.05</v>
      </c>
      <c r="F226" s="18">
        <f t="shared" si="166"/>
        <v>14</v>
      </c>
      <c r="G226" s="18">
        <f t="shared" si="167"/>
        <v>6</v>
      </c>
      <c r="H226" s="18" t="str">
        <f t="shared" si="168"/>
        <v>1</v>
      </c>
      <c r="I226" s="17">
        <f t="shared" si="160"/>
        <v>4052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443</v>
      </c>
      <c r="B227" s="17" t="s">
        <v>94</v>
      </c>
      <c r="C227" s="17" t="s">
        <v>91</v>
      </c>
      <c r="D227" s="18">
        <f t="shared" si="164"/>
        <v>4</v>
      </c>
      <c r="E227" s="18" t="str">
        <f t="shared" si="165"/>
        <v>0.04,0.007,0.02,0,0,0,0,0,0</v>
      </c>
      <c r="F227" s="18">
        <f t="shared" si="166"/>
        <v>2</v>
      </c>
      <c r="G227" s="18">
        <f t="shared" si="167"/>
        <v>1</v>
      </c>
      <c r="H227" s="18" t="str">
        <f t="shared" si="168"/>
        <v>0.5</v>
      </c>
      <c r="I227" s="17">
        <f t="shared" si="160"/>
        <v>291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444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0.038,0.006,0.019,0,0,0,0,0,0</v>
      </c>
      <c r="F228" s="18">
        <f t="shared" si="166"/>
        <v>2</v>
      </c>
      <c r="G228" s="18">
        <f t="shared" si="167"/>
        <v>3</v>
      </c>
      <c r="H228" s="18" t="str">
        <f t="shared" si="168"/>
        <v>-0.72</v>
      </c>
      <c r="I228" s="17">
        <f t="shared" si="160"/>
        <v>341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445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0.037,0.007,0.03,0,0,0,0,0,0</v>
      </c>
      <c r="F229" s="18">
        <f t="shared" si="166"/>
        <v>3</v>
      </c>
      <c r="G229" s="18">
        <f t="shared" si="167"/>
        <v>4</v>
      </c>
      <c r="H229" s="18" t="str">
        <f t="shared" si="168"/>
        <v>-0.84</v>
      </c>
      <c r="I229" s="17">
        <f t="shared" si="160"/>
        <v>749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460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0.156,0.117,0.117,0.3,0.1,0.2,0,0,-0.3</v>
      </c>
      <c r="F230" s="18">
        <f t="shared" si="166"/>
        <v>6</v>
      </c>
      <c r="G230" s="18">
        <f t="shared" si="167"/>
        <v>16</v>
      </c>
      <c r="H230" s="18" t="str">
        <f t="shared" si="168"/>
        <v>-1</v>
      </c>
      <c r="I230" s="17">
        <f>M230*M230*150+F230*3+G230*5+D230*50</f>
        <v>5498</v>
      </c>
      <c r="J230" s="18">
        <v>71</v>
      </c>
      <c r="K230" s="18"/>
      <c r="L230" s="51">
        <v>1</v>
      </c>
      <c r="M230" s="51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461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0.156,0.117,0.117,0.1,0.3,0.2,0,0,0</v>
      </c>
      <c r="F231" s="18">
        <f t="shared" si="166"/>
        <v>6</v>
      </c>
      <c r="G231" s="18">
        <f t="shared" si="167"/>
        <v>16</v>
      </c>
      <c r="H231" s="18" t="str">
        <f t="shared" si="168"/>
        <v>-1</v>
      </c>
      <c r="I231" s="17">
        <f>M231*M231*150+F231*3+G231*5+D231*50</f>
        <v>5498</v>
      </c>
      <c r="J231" s="18">
        <v>72</v>
      </c>
      <c r="K231" s="18"/>
      <c r="L231" s="51">
        <v>1</v>
      </c>
      <c r="M231" s="51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462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0.156,0.117,0.117,0.1,0.1,0.1,0.4,0,0</v>
      </c>
      <c r="F232" s="18">
        <f t="shared" si="166"/>
        <v>6</v>
      </c>
      <c r="G232" s="18">
        <f t="shared" si="167"/>
        <v>16</v>
      </c>
      <c r="H232" s="18" t="str">
        <f t="shared" si="168"/>
        <v>-1</v>
      </c>
      <c r="I232" s="17">
        <f>M232*M232*150+F232*3+G232*5+D232*50</f>
        <v>5498</v>
      </c>
      <c r="J232" s="18">
        <v>73</v>
      </c>
      <c r="K232" s="18"/>
      <c r="L232" s="51">
        <v>1</v>
      </c>
      <c r="M232" s="51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463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0.156,0.117,0.117,0.2,0.1,0.3,0,0,0</v>
      </c>
      <c r="F233" s="18">
        <f t="shared" si="166"/>
        <v>6</v>
      </c>
      <c r="G233" s="18">
        <f t="shared" si="167"/>
        <v>16</v>
      </c>
      <c r="H233" s="18" t="str">
        <f t="shared" si="168"/>
        <v>-1</v>
      </c>
      <c r="I233" s="17">
        <f>M233*M233*150+F233*3+G233*5+D233*50</f>
        <v>5498</v>
      </c>
      <c r="J233" s="18">
        <v>74</v>
      </c>
      <c r="K233" s="18"/>
      <c r="L233" s="51">
        <v>1</v>
      </c>
      <c r="M233" s="51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470</v>
      </c>
      <c r="B234" s="17" t="s">
        <v>97</v>
      </c>
      <c r="C234" s="17" t="s">
        <v>91</v>
      </c>
      <c r="D234" s="18">
        <f t="shared" si="164"/>
        <v>18</v>
      </c>
      <c r="E234" s="18" t="str">
        <f t="shared" si="165"/>
        <v>0.176,0.132,0.132,0.1,0.1,0.1,0.4,1,-0.5</v>
      </c>
      <c r="F234" s="18">
        <f t="shared" si="166"/>
        <v>12</v>
      </c>
      <c r="G234" s="18">
        <f t="shared" si="167"/>
        <v>6</v>
      </c>
      <c r="H234" s="18" t="str">
        <f t="shared" si="168"/>
        <v>1</v>
      </c>
      <c r="I234" s="17">
        <v>200000</v>
      </c>
      <c r="J234" s="18">
        <v>75</v>
      </c>
      <c r="K234" s="18"/>
      <c r="L234" s="51">
        <v>1</v>
      </c>
      <c r="M234" s="51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456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0.078,0.058,0.058,0.15,0.05,0.1,0,0,-0.15</v>
      </c>
      <c r="F235" s="18">
        <v>220000</v>
      </c>
      <c r="G235" s="18">
        <v>1000</v>
      </c>
      <c r="H235" s="18" t="str">
        <f t="shared" si="168"/>
        <v>-1</v>
      </c>
      <c r="I235" s="17">
        <f>M235*M235*110+F235*3+G235*5+D235*50</f>
        <v>668960</v>
      </c>
      <c r="J235" s="18">
        <v>71</v>
      </c>
      <c r="K235" s="18">
        <v>2</v>
      </c>
      <c r="L235" s="51">
        <v>1</v>
      </c>
      <c r="M235" s="51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457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0.078,0.058,0.058,0.05,0.15,0.1,0,0,0</v>
      </c>
      <c r="F236" s="18">
        <v>200000</v>
      </c>
      <c r="G236" s="18">
        <v>600</v>
      </c>
      <c r="H236" s="18" t="str">
        <f t="shared" si="168"/>
        <v>-1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1">
        <v>1</v>
      </c>
      <c r="M236" s="51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458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0.078,0.058,0.058,0.05,0.05,0.05,0.2,0,0</v>
      </c>
      <c r="F237" s="18">
        <v>180000</v>
      </c>
      <c r="G237" s="18">
        <v>500</v>
      </c>
      <c r="H237" s="18" t="str">
        <f t="shared" si="168"/>
        <v>-1</v>
      </c>
      <c r="I237" s="17">
        <f t="shared" si="184"/>
        <v>546460</v>
      </c>
      <c r="J237" s="18">
        <v>73</v>
      </c>
      <c r="K237" s="18">
        <v>2</v>
      </c>
      <c r="L237" s="51">
        <v>1</v>
      </c>
      <c r="M237" s="51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459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0.078,0.058,0.058,0.1,0.05,0.15,0,0,0</v>
      </c>
      <c r="F238" s="18">
        <v>160000</v>
      </c>
      <c r="G238" s="18">
        <v>450</v>
      </c>
      <c r="H238" s="18" t="str">
        <f t="shared" si="168"/>
        <v>-1</v>
      </c>
      <c r="I238" s="17">
        <f t="shared" si="184"/>
        <v>486210</v>
      </c>
      <c r="J238" s="18">
        <v>74</v>
      </c>
      <c r="K238" s="18">
        <v>2</v>
      </c>
      <c r="L238" s="51">
        <v>1</v>
      </c>
      <c r="M238" s="51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464</v>
      </c>
      <c r="B239" s="17" t="s">
        <v>93</v>
      </c>
      <c r="C239" s="17" t="s">
        <v>91</v>
      </c>
      <c r="D239" s="18">
        <f t="shared" si="164"/>
        <v>18</v>
      </c>
      <c r="E239" s="18" t="str">
        <f t="shared" si="165"/>
        <v>0.088,0.066,0.066,0.05,0.05,0.05,0.2,0.5,-0.25</v>
      </c>
      <c r="F239" s="18">
        <v>985188</v>
      </c>
      <c r="G239" s="18">
        <v>159</v>
      </c>
      <c r="H239" s="18" t="str">
        <f>ARMOR_SPEED(C239,L239,M239)</f>
        <v>1</v>
      </c>
      <c r="I239" s="17">
        <v>100000</v>
      </c>
      <c r="J239" s="18">
        <v>75</v>
      </c>
      <c r="K239" s="18">
        <v>2</v>
      </c>
      <c r="L239" s="51">
        <v>1</v>
      </c>
      <c r="M239" s="51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465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0.039,0.029,0.029,0.075,0.025,0.05,0,0,-0.075</v>
      </c>
      <c r="F240" s="18">
        <f>ROUND(ARMOR_HP(C240,L240,M240)/2,0)</f>
        <v>3</v>
      </c>
      <c r="G240" s="18">
        <f>ROUND(ARMOR_SP(C240,L240,M240)/2,0)</f>
        <v>8</v>
      </c>
      <c r="H240" s="18" t="str">
        <f>ARMOR_SPEED(C240,L240,M240)</f>
        <v>-1</v>
      </c>
      <c r="I240" s="17">
        <f t="shared" si="184"/>
        <v>4009</v>
      </c>
      <c r="J240" s="18">
        <v>71</v>
      </c>
      <c r="K240" s="18"/>
      <c r="L240" s="51">
        <v>1</v>
      </c>
      <c r="M240" s="51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466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0.039,0.029,0.029,0.025,0.075,0.05,0,0,0</v>
      </c>
      <c r="F241" s="18">
        <f>ROUND(ARMOR_HP(C241,L241,M241)/2,0)</f>
        <v>3</v>
      </c>
      <c r="G241" s="18">
        <f>ROUND(ARMOR_SP(C241,L241,M241)/2,0)</f>
        <v>8</v>
      </c>
      <c r="H241" s="18" t="str">
        <f>ARMOR_SPEED(C241,L241,M241)</f>
        <v>-1</v>
      </c>
      <c r="I241" s="17">
        <f t="shared" si="184"/>
        <v>4009</v>
      </c>
      <c r="J241" s="18">
        <v>72</v>
      </c>
      <c r="K241" s="18"/>
      <c r="L241" s="51">
        <v>1</v>
      </c>
      <c r="M241" s="51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467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0.039,0.029,0.029,0.025,0.025,0.025,0.1,0,0</v>
      </c>
      <c r="F242" s="18">
        <f t="shared" ref="F242:F247" si="191">ROUND(ARMOR_HP(C242,L242,M242)/2,0)</f>
        <v>3</v>
      </c>
      <c r="G242" s="18">
        <f t="shared" ref="G242:G247" si="192">ROUND(ARMOR_SP(C242,L242,M242)/2,0)</f>
        <v>8</v>
      </c>
      <c r="H242" s="18" t="str">
        <f t="shared" ref="H242:H247" si="193">ARMOR_SPEED(C242,L242,M242)</f>
        <v>-1</v>
      </c>
      <c r="I242" s="17">
        <f t="shared" si="184"/>
        <v>4009</v>
      </c>
      <c r="J242" s="18">
        <v>73</v>
      </c>
      <c r="K242" s="18"/>
      <c r="L242" s="51">
        <v>1</v>
      </c>
      <c r="M242" s="51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468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0.039,0.029,0.029,0.05,0.025,0.075,0,0,0</v>
      </c>
      <c r="F243" s="18">
        <f t="shared" si="191"/>
        <v>3</v>
      </c>
      <c r="G243" s="18">
        <f t="shared" si="192"/>
        <v>8</v>
      </c>
      <c r="H243" s="18" t="str">
        <f t="shared" si="193"/>
        <v>-1</v>
      </c>
      <c r="I243" s="17">
        <f t="shared" si="184"/>
        <v>4009</v>
      </c>
      <c r="J243" s="18">
        <v>74</v>
      </c>
      <c r="K243" s="18"/>
      <c r="L243" s="51">
        <v>1</v>
      </c>
      <c r="M243" s="51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469</v>
      </c>
      <c r="B244" s="17" t="s">
        <v>94</v>
      </c>
      <c r="C244" s="17" t="s">
        <v>91</v>
      </c>
      <c r="D244" s="18">
        <f t="shared" si="164"/>
        <v>18</v>
      </c>
      <c r="E244" s="18" t="str">
        <f t="shared" si="165"/>
        <v>0.044,0.033,0.033,0.025,0.025,0.025,0.1,0.25,-0.125</v>
      </c>
      <c r="F244" s="18">
        <f t="shared" si="191"/>
        <v>6</v>
      </c>
      <c r="G244" s="18">
        <f t="shared" si="192"/>
        <v>3</v>
      </c>
      <c r="H244" s="18" t="str">
        <f t="shared" si="193"/>
        <v>1</v>
      </c>
      <c r="I244" s="17">
        <v>100000</v>
      </c>
      <c r="J244" s="18">
        <v>75</v>
      </c>
      <c r="K244" s="18"/>
      <c r="L244" s="51">
        <v>1</v>
      </c>
      <c r="M244" s="51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156</v>
      </c>
    </row>
    <row r="245" spans="1:23">
      <c r="A245" s="24" t="s">
        <v>473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0.057,0.057,0.076,0,0,0,0,0,0</v>
      </c>
      <c r="F245" s="18">
        <f t="shared" si="191"/>
        <v>1</v>
      </c>
      <c r="G245" s="18">
        <f t="shared" si="192"/>
        <v>2</v>
      </c>
      <c r="H245" s="18" t="str">
        <f t="shared" si="193"/>
        <v>-0.5</v>
      </c>
      <c r="I245" s="17">
        <v>2000</v>
      </c>
      <c r="J245" s="18">
        <v>76</v>
      </c>
      <c r="K245" s="18">
        <v>1</v>
      </c>
      <c r="L245" s="51">
        <v>1</v>
      </c>
      <c r="M245" s="51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156</v>
      </c>
    </row>
    <row r="246" spans="1:23">
      <c r="A246" s="24" t="s">
        <v>474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0.029,0.029,0.038,0,0,0,0,0,0</v>
      </c>
      <c r="F246" s="18">
        <f t="shared" si="191"/>
        <v>1</v>
      </c>
      <c r="G246" s="18">
        <f t="shared" si="192"/>
        <v>2</v>
      </c>
      <c r="H246" s="18" t="str">
        <f t="shared" si="193"/>
        <v>-0.5</v>
      </c>
      <c r="I246" s="17">
        <v>1000</v>
      </c>
      <c r="J246" s="18">
        <v>76</v>
      </c>
      <c r="K246" s="18"/>
      <c r="L246" s="51">
        <v>1</v>
      </c>
      <c r="M246" s="51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156</v>
      </c>
    </row>
    <row r="247" spans="1:23">
      <c r="A247" s="24" t="s">
        <v>475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0.029,0.029,0.038,0,0,0,0,0,0</v>
      </c>
      <c r="F247" s="18">
        <f t="shared" si="191"/>
        <v>1</v>
      </c>
      <c r="G247" s="18">
        <f t="shared" si="192"/>
        <v>2</v>
      </c>
      <c r="H247" s="18" t="str">
        <f t="shared" si="193"/>
        <v>-0.5</v>
      </c>
      <c r="I247" s="17">
        <v>1000</v>
      </c>
      <c r="J247" s="18">
        <v>76</v>
      </c>
      <c r="K247" s="18"/>
      <c r="L247" s="51">
        <v>1</v>
      </c>
      <c r="M247" s="51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156</v>
      </c>
    </row>
    <row r="248" spans="1:23">
      <c r="A248" s="24" t="s">
        <v>595</v>
      </c>
      <c r="B248" s="17" t="s">
        <v>97</v>
      </c>
      <c r="C248" s="17" t="s">
        <v>91</v>
      </c>
      <c r="D248" s="18">
        <f t="shared" si="164"/>
        <v>1</v>
      </c>
      <c r="E248" s="18" t="str">
        <f t="shared" ref="E248:E253" si="197">ARMOR_RESIST(C248,L248,M248,N248,O248,P248,Q248,R248,S248,T248,U248,V248,1)</f>
        <v>0.004,0.002,0.004,0.2,0.2,0.2,0.5,1,-0.5</v>
      </c>
      <c r="F248" s="18">
        <f t="shared" ref="F248:F253" si="198">ROUND(ARMOR_HP(C248,L248,M248)/2,0)</f>
        <v>1</v>
      </c>
      <c r="G248" s="18">
        <f t="shared" ref="G248:G253" si="199">ROUND(ARMOR_SP(C248,L248,M248)/2,0)</f>
        <v>1</v>
      </c>
      <c r="H248" s="18" t="str">
        <f t="shared" ref="H248:H253" si="200">ARMOR_SPEED(C248,L248,M248)</f>
        <v>1</v>
      </c>
      <c r="I248" s="17">
        <v>100000</v>
      </c>
      <c r="J248" s="18">
        <v>78</v>
      </c>
      <c r="K248" s="18"/>
      <c r="L248" s="51">
        <v>1</v>
      </c>
      <c r="M248" s="51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156</v>
      </c>
    </row>
    <row r="249" spans="1:23">
      <c r="A249" s="24" t="s">
        <v>598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0.004,0.004,0.005,0.3,0.3,0.3,0,-0.5,1</v>
      </c>
      <c r="F249" s="18">
        <f t="shared" si="198"/>
        <v>1</v>
      </c>
      <c r="G249" s="18">
        <f t="shared" si="199"/>
        <v>1</v>
      </c>
      <c r="H249" s="18" t="str">
        <f t="shared" si="200"/>
        <v>1</v>
      </c>
      <c r="I249" s="17">
        <v>100000</v>
      </c>
      <c r="J249" s="18">
        <v>77</v>
      </c>
      <c r="K249" s="18"/>
      <c r="L249" s="51">
        <v>4</v>
      </c>
      <c r="M249" s="51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156</v>
      </c>
    </row>
    <row r="250" spans="1:23">
      <c r="A250" s="17" t="s">
        <v>596</v>
      </c>
      <c r="B250" s="17" t="s">
        <v>93</v>
      </c>
      <c r="C250" s="17" t="s">
        <v>91</v>
      </c>
      <c r="D250" s="18">
        <f t="shared" si="164"/>
        <v>1</v>
      </c>
      <c r="E250" s="18" t="str">
        <f t="shared" si="197"/>
        <v>0.002,0.001,0.002,0.1,0.1,0.1,0.25,0.5,-0.25</v>
      </c>
      <c r="F250" s="18">
        <f t="shared" si="198"/>
        <v>1</v>
      </c>
      <c r="G250" s="18">
        <f t="shared" si="199"/>
        <v>1</v>
      </c>
      <c r="H250" s="18" t="str">
        <f t="shared" si="200"/>
        <v>1</v>
      </c>
      <c r="I250" s="17">
        <v>50000</v>
      </c>
      <c r="J250" s="18">
        <v>78</v>
      </c>
      <c r="K250" s="18">
        <v>2</v>
      </c>
      <c r="L250" s="51">
        <v>1</v>
      </c>
      <c r="M250" s="51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599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0.002,0.002,0.002,0.15,0.15,0.15,0,-0.25,0.5</v>
      </c>
      <c r="F251" s="18">
        <f t="shared" si="198"/>
        <v>1</v>
      </c>
      <c r="G251" s="18">
        <f t="shared" si="199"/>
        <v>1</v>
      </c>
      <c r="H251" s="18" t="str">
        <f t="shared" si="200"/>
        <v>1</v>
      </c>
      <c r="I251" s="17">
        <v>50000</v>
      </c>
      <c r="J251" s="18">
        <v>77</v>
      </c>
      <c r="K251" s="18">
        <v>1</v>
      </c>
      <c r="L251" s="51">
        <v>4</v>
      </c>
      <c r="M251" s="51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597</v>
      </c>
      <c r="B252" s="17" t="s">
        <v>94</v>
      </c>
      <c r="C252" s="17" t="s">
        <v>91</v>
      </c>
      <c r="D252" s="18">
        <f t="shared" si="164"/>
        <v>1</v>
      </c>
      <c r="E252" s="18" t="str">
        <f t="shared" si="197"/>
        <v>0.002,0.001,0.002,0.1,0.1,0.1,0.25,0.5,-0.25</v>
      </c>
      <c r="F252" s="18">
        <f t="shared" si="198"/>
        <v>1</v>
      </c>
      <c r="G252" s="18">
        <f t="shared" si="199"/>
        <v>1</v>
      </c>
      <c r="H252" s="18" t="str">
        <f t="shared" si="200"/>
        <v>1</v>
      </c>
      <c r="I252" s="17">
        <v>50000</v>
      </c>
      <c r="J252" s="18">
        <v>78</v>
      </c>
      <c r="K252" s="18"/>
      <c r="L252" s="51">
        <v>1</v>
      </c>
      <c r="M252" s="51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600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0.002,0.002,0.002,0.15,0.15,0.15,0,-0.25,0.5</v>
      </c>
      <c r="F253" s="18">
        <f t="shared" si="198"/>
        <v>1</v>
      </c>
      <c r="G253" s="18">
        <f t="shared" si="199"/>
        <v>1</v>
      </c>
      <c r="H253" s="18" t="str">
        <f t="shared" si="200"/>
        <v>1</v>
      </c>
      <c r="I253" s="17">
        <v>50000</v>
      </c>
      <c r="J253" s="18">
        <v>77</v>
      </c>
      <c r="K253" s="18"/>
      <c r="L253" s="51">
        <v>4</v>
      </c>
      <c r="M253" s="51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845</v>
      </c>
      <c r="B1" s="2" t="s">
        <v>87</v>
      </c>
      <c r="C1" s="3" t="s">
        <v>828</v>
      </c>
      <c r="D1" s="1" t="s">
        <v>95</v>
      </c>
      <c r="E1" s="2" t="s">
        <v>830</v>
      </c>
      <c r="F1" s="2" t="s">
        <v>831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659</v>
      </c>
      <c r="O1" s="11" t="s">
        <v>446</v>
      </c>
      <c r="P1" s="11" t="s">
        <v>829</v>
      </c>
      <c r="Q1" s="2" t="s">
        <v>101</v>
      </c>
      <c r="S1" s="3" t="s">
        <v>157</v>
      </c>
      <c r="T1" s="3" t="s">
        <v>629</v>
      </c>
      <c r="U1" s="3" t="s">
        <v>737</v>
      </c>
      <c r="V1" s="3" t="s">
        <v>400</v>
      </c>
    </row>
    <row r="2" spans="1:30">
      <c r="A2" s="2" t="s">
        <v>63</v>
      </c>
      <c r="B2" s="2" t="s">
        <v>846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815</v>
      </c>
      <c r="X2" s="9" t="s">
        <v>400</v>
      </c>
    </row>
    <row r="3" spans="1:30">
      <c r="A3" s="2" t="s">
        <v>81</v>
      </c>
      <c r="B3" s="2" t="s">
        <v>847</v>
      </c>
      <c r="C3" t="s">
        <v>849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630</v>
      </c>
      <c r="U3" s="2" t="s">
        <v>63</v>
      </c>
      <c r="V3" s="2" t="s">
        <v>63</v>
      </c>
      <c r="W3" s="2" t="s">
        <v>815</v>
      </c>
      <c r="X3" s="9" t="s">
        <v>400</v>
      </c>
    </row>
    <row r="4" spans="1:30">
      <c r="A4" s="2" t="s">
        <v>2</v>
      </c>
      <c r="B4" s="2" t="s">
        <v>846</v>
      </c>
      <c r="C4" t="s">
        <v>848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815</v>
      </c>
      <c r="X4" s="9" t="s">
        <v>400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603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739</v>
      </c>
      <c r="V10" s="2" t="s">
        <v>102</v>
      </c>
      <c r="W10" s="2" t="s">
        <v>747</v>
      </c>
      <c r="X10" s="9" t="s">
        <v>400</v>
      </c>
      <c r="Y10" s="10">
        <v>150</v>
      </c>
    </row>
    <row r="11" spans="1:30">
      <c r="A11" s="2" t="s">
        <v>2</v>
      </c>
      <c r="B11" s="2" t="s">
        <v>52</v>
      </c>
      <c r="C11" s="4" t="s">
        <v>604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738</v>
      </c>
      <c r="V11" s="2" t="s">
        <v>79</v>
      </c>
      <c r="W11" s="2" t="s">
        <v>747</v>
      </c>
      <c r="X11" s="9" t="s">
        <v>400</v>
      </c>
      <c r="Y11" s="10">
        <v>180</v>
      </c>
    </row>
    <row r="12" spans="1:30">
      <c r="A12" s="2" t="s">
        <v>82</v>
      </c>
      <c r="B12" s="2" t="s">
        <v>52</v>
      </c>
      <c r="C12" s="4" t="s">
        <v>605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630</v>
      </c>
      <c r="U12" s="2" t="s">
        <v>740</v>
      </c>
      <c r="V12" s="2" t="s">
        <v>736</v>
      </c>
      <c r="W12" s="2" t="s">
        <v>747</v>
      </c>
      <c r="X12" s="9" t="s">
        <v>400</v>
      </c>
      <c r="Y12" s="10">
        <v>160</v>
      </c>
    </row>
    <row r="13" spans="1:30">
      <c r="A13" s="2" t="s">
        <v>3</v>
      </c>
      <c r="B13" s="2" t="s">
        <v>52</v>
      </c>
      <c r="C13" s="4" t="s">
        <v>606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747</v>
      </c>
      <c r="X13" s="9" t="s">
        <v>400</v>
      </c>
      <c r="Y13" s="10">
        <v>150</v>
      </c>
    </row>
    <row r="14" spans="1:30">
      <c r="A14" s="2" t="s">
        <v>4</v>
      </c>
      <c r="B14" s="2" t="s">
        <v>52</v>
      </c>
      <c r="C14" s="4" t="s">
        <v>607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630</v>
      </c>
      <c r="U14" s="2" t="s">
        <v>736</v>
      </c>
      <c r="V14" s="2" t="s">
        <v>82</v>
      </c>
      <c r="W14" s="2" t="s">
        <v>747</v>
      </c>
      <c r="X14" s="9" t="s">
        <v>400</v>
      </c>
      <c r="Y14" s="10">
        <v>140</v>
      </c>
    </row>
    <row r="15" spans="1:30">
      <c r="A15" s="2" t="s">
        <v>412</v>
      </c>
      <c r="B15" s="2" t="s">
        <v>53</v>
      </c>
      <c r="C15" t="s">
        <v>691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472</v>
      </c>
      <c r="X15" s="9">
        <v>8</v>
      </c>
      <c r="Y15" s="66" t="s">
        <v>725</v>
      </c>
      <c r="Z15" s="7"/>
      <c r="AA15" s="7"/>
      <c r="AB15" s="7"/>
      <c r="AC15" s="7"/>
      <c r="AD15" s="7"/>
    </row>
    <row r="16" spans="1:30">
      <c r="A16" s="2" t="s">
        <v>411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738</v>
      </c>
      <c r="V16" s="2" t="s">
        <v>103</v>
      </c>
      <c r="W16" s="2" t="s">
        <v>472</v>
      </c>
      <c r="X16" s="9">
        <v>8</v>
      </c>
      <c r="Y16" s="66" t="s">
        <v>726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692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448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630</v>
      </c>
      <c r="U17" s="2" t="s">
        <v>744</v>
      </c>
      <c r="V17" s="2" t="s">
        <v>82</v>
      </c>
      <c r="W17" s="2" t="s">
        <v>472</v>
      </c>
      <c r="X17" s="9">
        <v>8</v>
      </c>
      <c r="Y17" s="66" t="s">
        <v>727</v>
      </c>
      <c r="AA17" s="7"/>
      <c r="AB17" s="7"/>
      <c r="AC17" s="7"/>
      <c r="AD17" s="7"/>
    </row>
    <row r="18" spans="1:30">
      <c r="A18" s="2" t="s">
        <v>400</v>
      </c>
      <c r="B18" s="2" t="s">
        <v>53</v>
      </c>
      <c r="C18" s="4" t="s">
        <v>693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741</v>
      </c>
      <c r="V18" s="2" t="s">
        <v>79</v>
      </c>
      <c r="W18" s="2" t="s">
        <v>472</v>
      </c>
      <c r="X18" s="9">
        <v>8</v>
      </c>
      <c r="Y18" s="66" t="s">
        <v>728</v>
      </c>
      <c r="AA18" s="7"/>
      <c r="AB18" s="7"/>
      <c r="AC18" s="7"/>
      <c r="AD18" s="7"/>
    </row>
    <row r="19" spans="1:30">
      <c r="A19" s="2" t="s">
        <v>616</v>
      </c>
      <c r="B19" s="2" t="s">
        <v>53</v>
      </c>
      <c r="C19" s="4" t="s">
        <v>694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742</v>
      </c>
      <c r="V19" s="2" t="s">
        <v>743</v>
      </c>
      <c r="W19" s="2" t="s">
        <v>472</v>
      </c>
      <c r="X19" s="9">
        <v>8</v>
      </c>
      <c r="Y19" s="66" t="s">
        <v>728</v>
      </c>
      <c r="Z19" s="7"/>
    </row>
    <row r="20" spans="1:30">
      <c r="A20" s="2" t="s">
        <v>5</v>
      </c>
      <c r="B20" s="2" t="s">
        <v>53</v>
      </c>
      <c r="C20" s="4" t="s">
        <v>695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721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720</v>
      </c>
      <c r="U20" s="2" t="s">
        <v>105</v>
      </c>
      <c r="V20" s="2" t="s">
        <v>2</v>
      </c>
      <c r="W20" s="2" t="s">
        <v>472</v>
      </c>
      <c r="X20" s="9">
        <v>8</v>
      </c>
      <c r="Y20" s="66" t="s">
        <v>729</v>
      </c>
      <c r="Z20" s="7"/>
    </row>
    <row r="21" spans="1:30">
      <c r="A21" s="2" t="s">
        <v>617</v>
      </c>
      <c r="B21" s="2" t="s">
        <v>680</v>
      </c>
      <c r="C21" t="s">
        <v>701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400</v>
      </c>
      <c r="L21" s="2" t="s">
        <v>735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736</v>
      </c>
      <c r="V21" s="2" t="s">
        <v>2</v>
      </c>
      <c r="W21" s="2" t="s">
        <v>63</v>
      </c>
      <c r="X21" s="9" t="s">
        <v>400</v>
      </c>
      <c r="Y21" s="66" t="s">
        <v>727</v>
      </c>
      <c r="Z21" s="7"/>
    </row>
    <row r="22" spans="1:30">
      <c r="A22" s="2" t="s">
        <v>491</v>
      </c>
      <c r="B22" s="2" t="s">
        <v>680</v>
      </c>
      <c r="C22" s="4" t="s">
        <v>702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400</v>
      </c>
      <c r="L22" s="2" t="s">
        <v>735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400</v>
      </c>
      <c r="Y22" s="66" t="s">
        <v>725</v>
      </c>
      <c r="Z22" s="7"/>
    </row>
    <row r="23" spans="1:30">
      <c r="A23" s="2" t="s">
        <v>399</v>
      </c>
      <c r="B23" s="2" t="s">
        <v>680</v>
      </c>
      <c r="C23" s="4" t="s">
        <v>703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400</v>
      </c>
      <c r="L23" s="2" t="s">
        <v>735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630</v>
      </c>
      <c r="U23" s="2" t="s">
        <v>739</v>
      </c>
      <c r="V23" s="2" t="s">
        <v>107</v>
      </c>
      <c r="W23" s="2" t="s">
        <v>63</v>
      </c>
      <c r="X23" s="9" t="s">
        <v>400</v>
      </c>
      <c r="Y23" s="66" t="s">
        <v>729</v>
      </c>
      <c r="Z23" s="7"/>
    </row>
    <row r="24" spans="1:30">
      <c r="A24" s="2" t="s">
        <v>618</v>
      </c>
      <c r="B24" s="2" t="s">
        <v>680</v>
      </c>
      <c r="C24" s="4" t="s">
        <v>704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400</v>
      </c>
      <c r="L24" s="2" t="s">
        <v>735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738</v>
      </c>
      <c r="V24" s="2" t="s">
        <v>79</v>
      </c>
      <c r="W24" s="2" t="s">
        <v>63</v>
      </c>
      <c r="X24" s="9" t="s">
        <v>400</v>
      </c>
      <c r="Y24" s="66" t="s">
        <v>725</v>
      </c>
      <c r="Z24" s="7"/>
    </row>
    <row r="25" spans="1:30">
      <c r="A25" s="2" t="s">
        <v>619</v>
      </c>
      <c r="B25" s="2" t="s">
        <v>680</v>
      </c>
      <c r="C25" s="4" t="s">
        <v>705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400</v>
      </c>
      <c r="L25" s="2" t="s">
        <v>735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742</v>
      </c>
      <c r="V25" s="2" t="s">
        <v>472</v>
      </c>
      <c r="W25" s="2" t="s">
        <v>63</v>
      </c>
      <c r="X25" s="9" t="s">
        <v>400</v>
      </c>
      <c r="Y25" s="66" t="s">
        <v>728</v>
      </c>
      <c r="Z25" s="7"/>
    </row>
    <row r="26" spans="1:30">
      <c r="A26" s="2" t="s">
        <v>417</v>
      </c>
      <c r="B26" s="2" t="s">
        <v>680</v>
      </c>
      <c r="C26" s="4" t="s">
        <v>706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400</v>
      </c>
      <c r="L26" s="2" t="s">
        <v>735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630</v>
      </c>
      <c r="U26" s="2" t="s">
        <v>63</v>
      </c>
      <c r="V26" s="2" t="s">
        <v>63</v>
      </c>
      <c r="W26" s="2" t="s">
        <v>63</v>
      </c>
      <c r="X26" s="9" t="s">
        <v>400</v>
      </c>
      <c r="Y26" s="66" t="s">
        <v>728</v>
      </c>
      <c r="Z26" s="7"/>
    </row>
    <row r="27" spans="1:30">
      <c r="A27" s="2" t="s">
        <v>669</v>
      </c>
      <c r="B27" s="2" t="s">
        <v>52</v>
      </c>
      <c r="C27" s="5" t="s">
        <v>608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623</v>
      </c>
      <c r="H27" s="11">
        <f t="shared" si="0"/>
        <v>9</v>
      </c>
      <c r="K27" s="2" t="s">
        <v>78</v>
      </c>
      <c r="M27" s="11">
        <v>12</v>
      </c>
      <c r="N27" s="2" t="s">
        <v>816</v>
      </c>
      <c r="O27" s="11">
        <v>1</v>
      </c>
      <c r="P27" s="11" t="s">
        <v>155</v>
      </c>
      <c r="Q27" s="8">
        <v>1.5</v>
      </c>
      <c r="R27" s="8"/>
      <c r="S27" s="10">
        <f t="shared" si="1"/>
        <v>317.90000000000003</v>
      </c>
      <c r="T27" s="2" t="s">
        <v>631</v>
      </c>
      <c r="U27" s="2" t="s">
        <v>739</v>
      </c>
      <c r="V27" s="2" t="s">
        <v>632</v>
      </c>
      <c r="W27" s="2" t="s">
        <v>745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827</v>
      </c>
      <c r="O28" s="11">
        <v>1</v>
      </c>
      <c r="P28" s="11" t="s">
        <v>155</v>
      </c>
      <c r="Q28" s="8">
        <v>1.5</v>
      </c>
      <c r="R28" s="8"/>
      <c r="S28" s="10">
        <f t="shared" si="1"/>
        <v>520.19999999999993</v>
      </c>
      <c r="T28" s="2" t="s">
        <v>632</v>
      </c>
      <c r="U28" s="2" t="s">
        <v>743</v>
      </c>
      <c r="V28" s="2" t="s">
        <v>85</v>
      </c>
      <c r="W28" s="2" t="s">
        <v>745</v>
      </c>
      <c r="X28" s="9">
        <v>15</v>
      </c>
      <c r="Y28" s="10">
        <v>240</v>
      </c>
      <c r="Z28" s="7"/>
    </row>
    <row r="29" spans="1:30">
      <c r="A29" s="2" t="s">
        <v>670</v>
      </c>
      <c r="B29" s="2" t="s">
        <v>52</v>
      </c>
      <c r="C29" s="5" t="s">
        <v>609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155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736</v>
      </c>
      <c r="V29" s="2" t="s">
        <v>3</v>
      </c>
      <c r="W29" s="2" t="s">
        <v>745</v>
      </c>
      <c r="X29" s="9">
        <v>15</v>
      </c>
      <c r="Y29" s="10">
        <v>200</v>
      </c>
      <c r="Z29" s="7"/>
    </row>
    <row r="30" spans="1:30">
      <c r="A30" s="2" t="s">
        <v>418</v>
      </c>
      <c r="B30" s="2" t="s">
        <v>52</v>
      </c>
      <c r="C30" s="5" t="s">
        <v>610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820</v>
      </c>
      <c r="O30" s="11">
        <v>1</v>
      </c>
      <c r="P30" s="11" t="s">
        <v>155</v>
      </c>
      <c r="Q30" s="8">
        <v>1.5</v>
      </c>
      <c r="R30" s="8"/>
      <c r="S30" s="10">
        <f t="shared" si="1"/>
        <v>274.55</v>
      </c>
      <c r="T30" s="2" t="s">
        <v>630</v>
      </c>
      <c r="U30" s="2" t="s">
        <v>742</v>
      </c>
      <c r="V30" s="2" t="s">
        <v>82</v>
      </c>
      <c r="W30" s="2" t="s">
        <v>745</v>
      </c>
      <c r="X30" s="9">
        <v>15</v>
      </c>
      <c r="Y30" s="10">
        <v>210</v>
      </c>
      <c r="Z30" s="7"/>
    </row>
    <row r="31" spans="1:30">
      <c r="A31" s="2" t="s">
        <v>671</v>
      </c>
      <c r="B31" s="2" t="s">
        <v>52</v>
      </c>
      <c r="C31" s="5" t="s">
        <v>611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155</v>
      </c>
      <c r="Q31" s="8">
        <v>1.5</v>
      </c>
      <c r="R31" s="8"/>
      <c r="S31" s="10">
        <f t="shared" si="1"/>
        <v>346.8</v>
      </c>
      <c r="T31" s="2" t="s">
        <v>630</v>
      </c>
      <c r="U31" s="2" t="s">
        <v>738</v>
      </c>
      <c r="V31" s="2" t="s">
        <v>630</v>
      </c>
      <c r="W31" s="2" t="s">
        <v>745</v>
      </c>
      <c r="X31" s="9">
        <v>15</v>
      </c>
      <c r="Y31" s="10">
        <v>190</v>
      </c>
      <c r="Z31" s="7"/>
    </row>
    <row r="32" spans="1:30">
      <c r="A32" s="2" t="s">
        <v>419</v>
      </c>
      <c r="B32" s="2" t="s">
        <v>52</v>
      </c>
      <c r="C32" s="5" t="s">
        <v>612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624</v>
      </c>
      <c r="H32" s="11">
        <f t="shared" si="0"/>
        <v>30</v>
      </c>
      <c r="K32" s="2" t="s">
        <v>78</v>
      </c>
      <c r="M32" s="11">
        <v>12</v>
      </c>
      <c r="N32" s="2" t="s">
        <v>817</v>
      </c>
      <c r="O32" s="11">
        <v>1</v>
      </c>
      <c r="P32" s="11" t="s">
        <v>155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745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696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722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155</v>
      </c>
      <c r="Q33" s="8">
        <v>2</v>
      </c>
      <c r="R33" s="8"/>
      <c r="S33" s="10">
        <f t="shared" si="1"/>
        <v>217.60000000000002</v>
      </c>
      <c r="T33" s="2" t="s">
        <v>632</v>
      </c>
      <c r="U33" s="2" t="s">
        <v>736</v>
      </c>
      <c r="V33" s="2" t="s">
        <v>82</v>
      </c>
      <c r="W33" s="2" t="s">
        <v>747</v>
      </c>
      <c r="X33" s="9">
        <v>12</v>
      </c>
      <c r="Y33" s="67">
        <v>160</v>
      </c>
      <c r="Z33" s="7"/>
      <c r="AC33" s="2">
        <v>4003</v>
      </c>
    </row>
    <row r="34" spans="1:29">
      <c r="A34" s="2" t="s">
        <v>672</v>
      </c>
      <c r="B34" s="2" t="s">
        <v>53</v>
      </c>
      <c r="C34" s="5" t="s">
        <v>697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818</v>
      </c>
      <c r="O34" s="11">
        <v>1</v>
      </c>
      <c r="P34" s="11" t="s">
        <v>155</v>
      </c>
      <c r="Q34" s="8">
        <v>2</v>
      </c>
      <c r="R34" s="8"/>
      <c r="S34" s="10">
        <f t="shared" si="1"/>
        <v>299.20000000000005</v>
      </c>
      <c r="T34" s="2" t="s">
        <v>630</v>
      </c>
      <c r="U34" s="2" t="s">
        <v>739</v>
      </c>
      <c r="V34" s="2" t="s">
        <v>2</v>
      </c>
      <c r="W34" s="2" t="s">
        <v>747</v>
      </c>
      <c r="X34" s="9">
        <v>12</v>
      </c>
      <c r="Y34" s="67">
        <v>180</v>
      </c>
      <c r="Z34" s="7"/>
      <c r="AC34" s="2">
        <v>4003</v>
      </c>
    </row>
    <row r="35" spans="1:29">
      <c r="A35" s="2" t="s">
        <v>673</v>
      </c>
      <c r="B35" s="2" t="s">
        <v>53</v>
      </c>
      <c r="C35" s="5" t="s">
        <v>698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821</v>
      </c>
      <c r="O35" s="11">
        <v>1</v>
      </c>
      <c r="P35" s="11" t="s">
        <v>155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736</v>
      </c>
      <c r="V35" s="2" t="s">
        <v>631</v>
      </c>
      <c r="W35" s="2" t="s">
        <v>747</v>
      </c>
      <c r="X35" s="9">
        <v>12</v>
      </c>
      <c r="Y35" s="67">
        <v>200</v>
      </c>
      <c r="Z35" s="7"/>
      <c r="AC35" s="2">
        <v>4003</v>
      </c>
    </row>
    <row r="36" spans="1:29">
      <c r="A36" s="2" t="s">
        <v>674</v>
      </c>
      <c r="B36" s="2" t="s">
        <v>53</v>
      </c>
      <c r="C36" s="5" t="s">
        <v>699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823</v>
      </c>
      <c r="O36" s="11">
        <v>1</v>
      </c>
      <c r="P36" s="11" t="s">
        <v>155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738</v>
      </c>
      <c r="V36" s="2" t="s">
        <v>79</v>
      </c>
      <c r="W36" s="2" t="s">
        <v>747</v>
      </c>
      <c r="X36" s="9">
        <v>12</v>
      </c>
      <c r="Y36" s="67">
        <v>210</v>
      </c>
      <c r="Z36" s="7"/>
      <c r="AC36" s="2">
        <v>4003</v>
      </c>
    </row>
    <row r="37" spans="1:29">
      <c r="A37" s="2" t="s">
        <v>675</v>
      </c>
      <c r="B37" s="2" t="s">
        <v>53</v>
      </c>
      <c r="C37" s="5" t="s">
        <v>700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375</v>
      </c>
      <c r="H37" s="11">
        <f t="shared" si="0"/>
        <v>18</v>
      </c>
      <c r="K37" s="2" t="s">
        <v>63</v>
      </c>
      <c r="M37" s="11">
        <f>M31</f>
        <v>12</v>
      </c>
      <c r="N37" s="2" t="s">
        <v>819</v>
      </c>
      <c r="O37" s="11">
        <v>1</v>
      </c>
      <c r="P37" s="11" t="s">
        <v>155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742</v>
      </c>
      <c r="V37" s="2" t="s">
        <v>472</v>
      </c>
      <c r="W37" s="2" t="s">
        <v>747</v>
      </c>
      <c r="X37" s="9">
        <v>12</v>
      </c>
      <c r="Y37" s="67">
        <v>190</v>
      </c>
      <c r="Z37" s="7"/>
      <c r="AC37" s="2">
        <v>4003</v>
      </c>
    </row>
    <row r="38" spans="1:29">
      <c r="A38" s="2" t="s">
        <v>73</v>
      </c>
      <c r="B38" s="2" t="s">
        <v>680</v>
      </c>
      <c r="C38" s="5" t="s">
        <v>707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400</v>
      </c>
      <c r="L38" s="2" t="s">
        <v>735</v>
      </c>
      <c r="M38" s="11">
        <f>M33</f>
        <v>12</v>
      </c>
      <c r="N38" s="2" t="s">
        <v>822</v>
      </c>
      <c r="O38" s="11">
        <v>1</v>
      </c>
      <c r="P38" s="11" t="s">
        <v>155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738</v>
      </c>
      <c r="V38" s="2" t="s">
        <v>79</v>
      </c>
      <c r="W38" s="2" t="s">
        <v>739</v>
      </c>
      <c r="X38" s="9">
        <v>15</v>
      </c>
      <c r="Y38" s="67">
        <v>200</v>
      </c>
      <c r="Z38" s="7"/>
      <c r="AC38" s="2"/>
    </row>
    <row r="39" spans="1:29">
      <c r="A39" s="2" t="s">
        <v>676</v>
      </c>
      <c r="B39" s="2" t="s">
        <v>680</v>
      </c>
      <c r="C39" s="5" t="s">
        <v>708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400</v>
      </c>
      <c r="L39" s="2" t="s">
        <v>735</v>
      </c>
      <c r="M39" s="11">
        <f>M34</f>
        <v>12</v>
      </c>
      <c r="O39" s="11">
        <v>1</v>
      </c>
      <c r="P39" s="11" t="s">
        <v>155</v>
      </c>
      <c r="Q39" s="8">
        <v>1</v>
      </c>
      <c r="R39" s="8"/>
      <c r="S39" s="10">
        <f t="shared" si="1"/>
        <v>205.70000000000005</v>
      </c>
      <c r="T39" s="2" t="s">
        <v>720</v>
      </c>
      <c r="U39" s="2" t="s">
        <v>739</v>
      </c>
      <c r="V39" s="2" t="s">
        <v>104</v>
      </c>
      <c r="W39" s="2" t="s">
        <v>739</v>
      </c>
      <c r="X39" s="9">
        <v>15</v>
      </c>
      <c r="Y39" s="67">
        <v>170</v>
      </c>
      <c r="Z39" s="7"/>
      <c r="AC39" s="2"/>
    </row>
    <row r="40" spans="1:29">
      <c r="A40" s="2" t="s">
        <v>677</v>
      </c>
      <c r="B40" s="2" t="s">
        <v>680</v>
      </c>
      <c r="C40" s="5" t="s">
        <v>709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400</v>
      </c>
      <c r="L40" s="2" t="s">
        <v>735</v>
      </c>
      <c r="M40" s="11">
        <f>M35</f>
        <v>12</v>
      </c>
      <c r="N40" s="2" t="s">
        <v>824</v>
      </c>
      <c r="O40" s="11">
        <v>1</v>
      </c>
      <c r="P40" s="11" t="s">
        <v>155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739</v>
      </c>
      <c r="X40" s="9">
        <v>15</v>
      </c>
      <c r="Y40" s="67">
        <v>160</v>
      </c>
      <c r="Z40" s="7"/>
      <c r="AC40" s="2"/>
    </row>
    <row r="41" spans="1:29">
      <c r="A41" s="2" t="s">
        <v>678</v>
      </c>
      <c r="B41" s="2" t="s">
        <v>680</v>
      </c>
      <c r="C41" s="5" t="s">
        <v>710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400</v>
      </c>
      <c r="L41" s="2" t="s">
        <v>735</v>
      </c>
      <c r="M41" s="11">
        <f>M36</f>
        <v>12</v>
      </c>
      <c r="N41" s="2" t="s">
        <v>825</v>
      </c>
      <c r="O41" s="11">
        <v>1</v>
      </c>
      <c r="P41" s="11" t="s">
        <v>155</v>
      </c>
      <c r="Q41" s="8">
        <v>1</v>
      </c>
      <c r="R41" s="8"/>
      <c r="S41" s="10">
        <f t="shared" si="1"/>
        <v>177.65</v>
      </c>
      <c r="T41" s="2" t="s">
        <v>630</v>
      </c>
      <c r="U41" s="2" t="s">
        <v>742</v>
      </c>
      <c r="V41" s="2" t="s">
        <v>743</v>
      </c>
      <c r="W41" s="2" t="s">
        <v>739</v>
      </c>
      <c r="X41" s="9">
        <v>15</v>
      </c>
      <c r="Y41" s="67">
        <v>190</v>
      </c>
      <c r="Z41" s="7"/>
      <c r="AC41" s="2"/>
    </row>
    <row r="42" spans="1:29">
      <c r="A42" s="2" t="s">
        <v>679</v>
      </c>
      <c r="B42" s="2" t="s">
        <v>680</v>
      </c>
      <c r="C42" s="5" t="s">
        <v>711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400</v>
      </c>
      <c r="L42" s="2" t="s">
        <v>735</v>
      </c>
      <c r="M42" s="11">
        <f>M37</f>
        <v>12</v>
      </c>
      <c r="N42" s="2" t="s">
        <v>826</v>
      </c>
      <c r="O42" s="11">
        <v>1</v>
      </c>
      <c r="P42" s="11" t="s">
        <v>155</v>
      </c>
      <c r="Q42" s="8">
        <v>1</v>
      </c>
      <c r="R42" s="8"/>
      <c r="S42" s="10">
        <f t="shared" si="1"/>
        <v>196.35000000000002</v>
      </c>
      <c r="T42" s="2" t="s">
        <v>632</v>
      </c>
      <c r="U42" s="2" t="s">
        <v>740</v>
      </c>
      <c r="V42" s="2" t="s">
        <v>105</v>
      </c>
      <c r="W42" s="2" t="s">
        <v>739</v>
      </c>
      <c r="X42" s="9">
        <v>15</v>
      </c>
      <c r="Y42" s="67">
        <v>150</v>
      </c>
      <c r="Z42" s="7"/>
      <c r="AC42" s="2"/>
    </row>
    <row r="43" spans="1:29">
      <c r="A43" s="2" t="s">
        <v>451</v>
      </c>
      <c r="B43" s="2" t="s">
        <v>52</v>
      </c>
      <c r="C43" s="6" t="s">
        <v>613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625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156</v>
      </c>
      <c r="Q43" s="8">
        <v>1.5</v>
      </c>
      <c r="R43" s="8"/>
      <c r="S43" s="10">
        <f t="shared" si="1"/>
        <v>275.40000000000003</v>
      </c>
      <c r="T43" s="2" t="s">
        <v>630</v>
      </c>
      <c r="U43" s="2" t="s">
        <v>105</v>
      </c>
      <c r="V43" s="2" t="s">
        <v>2</v>
      </c>
      <c r="W43" s="2" t="s">
        <v>743</v>
      </c>
      <c r="X43" s="9">
        <v>18</v>
      </c>
      <c r="Y43" s="67">
        <v>250</v>
      </c>
      <c r="Z43" s="7"/>
      <c r="AC43" s="2">
        <v>100</v>
      </c>
    </row>
    <row r="44" spans="1:29">
      <c r="A44" s="2" t="s">
        <v>452</v>
      </c>
      <c r="B44" s="2" t="s">
        <v>52</v>
      </c>
      <c r="C44" s="6" t="s">
        <v>614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626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156</v>
      </c>
      <c r="Q44" s="8">
        <v>1.5</v>
      </c>
      <c r="R44" s="8"/>
      <c r="S44" s="10">
        <f t="shared" si="1"/>
        <v>367.2</v>
      </c>
      <c r="T44" s="2" t="s">
        <v>630</v>
      </c>
      <c r="U44" s="2" t="s">
        <v>738</v>
      </c>
      <c r="V44" s="2" t="s">
        <v>102</v>
      </c>
      <c r="W44" s="2" t="s">
        <v>743</v>
      </c>
      <c r="X44" s="9">
        <v>18</v>
      </c>
      <c r="Y44" s="67">
        <v>300</v>
      </c>
      <c r="Z44" s="7"/>
      <c r="AC44" s="2">
        <v>200</v>
      </c>
    </row>
    <row r="45" spans="1:29">
      <c r="A45" s="2" t="s">
        <v>453</v>
      </c>
      <c r="B45" s="2" t="s">
        <v>52</v>
      </c>
      <c r="C45" s="6" t="s">
        <v>615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627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156</v>
      </c>
      <c r="Q45" s="8">
        <v>1.5</v>
      </c>
      <c r="R45" s="8"/>
      <c r="S45" s="10">
        <f t="shared" si="1"/>
        <v>183.6</v>
      </c>
      <c r="T45" s="2" t="s">
        <v>631</v>
      </c>
      <c r="U45" s="2" t="s">
        <v>632</v>
      </c>
      <c r="V45" s="2" t="s">
        <v>81</v>
      </c>
      <c r="W45" s="2" t="s">
        <v>743</v>
      </c>
      <c r="X45" s="9">
        <v>18</v>
      </c>
      <c r="Y45" s="67">
        <v>280</v>
      </c>
      <c r="Z45" s="7"/>
      <c r="AC45" s="2">
        <v>300</v>
      </c>
    </row>
    <row r="46" spans="1:29">
      <c r="A46" s="2" t="s">
        <v>454</v>
      </c>
      <c r="B46" s="2" t="s">
        <v>52</v>
      </c>
      <c r="C46" s="6" t="s">
        <v>660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723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156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739</v>
      </c>
      <c r="V46" s="2" t="s">
        <v>63</v>
      </c>
      <c r="W46" s="2" t="s">
        <v>743</v>
      </c>
      <c r="X46" s="9">
        <v>18</v>
      </c>
      <c r="Y46" s="67">
        <v>260</v>
      </c>
      <c r="Z46" s="7"/>
      <c r="AC46" s="2">
        <v>400</v>
      </c>
    </row>
    <row r="47" spans="1:29">
      <c r="A47" s="2" t="s">
        <v>455</v>
      </c>
      <c r="B47" s="2" t="s">
        <v>52</v>
      </c>
      <c r="C47" s="6" t="s">
        <v>661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628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156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743</v>
      </c>
      <c r="X47" s="9">
        <v>18</v>
      </c>
      <c r="Y47" s="67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760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766</v>
      </c>
      <c r="H48" s="11">
        <f t="shared" si="0"/>
        <v>3.6</v>
      </c>
      <c r="K48" s="2" t="s">
        <v>78</v>
      </c>
      <c r="M48" s="11">
        <v>20</v>
      </c>
      <c r="N48" s="2" t="s">
        <v>753</v>
      </c>
      <c r="O48" s="11">
        <v>1</v>
      </c>
      <c r="P48" s="11" t="s">
        <v>156</v>
      </c>
      <c r="Q48" s="8">
        <v>1.5</v>
      </c>
      <c r="R48" s="8"/>
      <c r="S48" s="10">
        <f>U48*$U$1*W48</f>
        <v>397.8</v>
      </c>
      <c r="T48" s="2" t="s">
        <v>630</v>
      </c>
      <c r="U48" s="2" t="s">
        <v>741</v>
      </c>
      <c r="V48" s="2" t="s">
        <v>630</v>
      </c>
      <c r="W48" s="2" t="s">
        <v>743</v>
      </c>
      <c r="X48" s="9">
        <v>18</v>
      </c>
      <c r="Y48" s="67">
        <v>100</v>
      </c>
      <c r="Z48" s="7"/>
      <c r="AC48" s="2"/>
    </row>
    <row r="49" spans="1:29">
      <c r="A49" s="2" t="s">
        <v>712</v>
      </c>
      <c r="B49" s="2" t="s">
        <v>53</v>
      </c>
      <c r="C49" s="6" t="s">
        <v>681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625</v>
      </c>
      <c r="H49" s="11">
        <f t="shared" si="0"/>
        <v>45</v>
      </c>
      <c r="K49" s="2" t="s">
        <v>63</v>
      </c>
      <c r="M49" s="11">
        <f>M43</f>
        <v>17</v>
      </c>
      <c r="N49" s="2" t="s">
        <v>754</v>
      </c>
      <c r="O49" s="11">
        <v>1</v>
      </c>
      <c r="P49" s="11" t="s">
        <v>156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745</v>
      </c>
      <c r="X49" s="9">
        <v>15</v>
      </c>
      <c r="Y49" s="67">
        <v>210</v>
      </c>
      <c r="Z49" s="7"/>
      <c r="AC49" s="2" t="s">
        <v>731</v>
      </c>
    </row>
    <row r="50" spans="1:29">
      <c r="A50" s="2" t="s">
        <v>713</v>
      </c>
      <c r="B50" s="2" t="s">
        <v>53</v>
      </c>
      <c r="C50" s="6" t="s">
        <v>682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626</v>
      </c>
      <c r="H50" s="11">
        <f t="shared" si="0"/>
        <v>7.5</v>
      </c>
      <c r="K50" s="2" t="s">
        <v>63</v>
      </c>
      <c r="M50" s="11">
        <f>M44</f>
        <v>17</v>
      </c>
      <c r="N50" s="2" t="s">
        <v>755</v>
      </c>
      <c r="O50" s="11">
        <v>1</v>
      </c>
      <c r="P50" s="11" t="s">
        <v>156</v>
      </c>
      <c r="Q50" s="8">
        <v>2</v>
      </c>
      <c r="R50" s="8"/>
      <c r="S50" s="10">
        <f t="shared" si="1"/>
        <v>346.8</v>
      </c>
      <c r="T50" s="2" t="s">
        <v>632</v>
      </c>
      <c r="U50" s="2" t="str">
        <f t="shared" si="5"/>
        <v>1,2</v>
      </c>
      <c r="V50" s="2" t="str">
        <f t="shared" si="5"/>
        <v>0,5</v>
      </c>
      <c r="W50" s="2" t="s">
        <v>745</v>
      </c>
      <c r="X50" s="9">
        <v>15</v>
      </c>
      <c r="Y50" s="67">
        <v>270</v>
      </c>
      <c r="Z50" s="7"/>
      <c r="AC50" s="2" t="s">
        <v>730</v>
      </c>
    </row>
    <row r="51" spans="1:29">
      <c r="A51" s="2" t="s">
        <v>714</v>
      </c>
      <c r="B51" s="2" t="s">
        <v>53</v>
      </c>
      <c r="C51" s="6" t="s">
        <v>683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627</v>
      </c>
      <c r="H51" s="11">
        <f t="shared" si="0"/>
        <v>30</v>
      </c>
      <c r="K51" s="2" t="s">
        <v>63</v>
      </c>
      <c r="M51" s="11">
        <f>M45</f>
        <v>17</v>
      </c>
      <c r="N51" s="2" t="s">
        <v>756</v>
      </c>
      <c r="O51" s="11">
        <v>1</v>
      </c>
      <c r="P51" s="11" t="s">
        <v>156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745</v>
      </c>
      <c r="X51" s="9">
        <v>15</v>
      </c>
      <c r="Y51" s="67">
        <v>240</v>
      </c>
      <c r="Z51" s="7"/>
      <c r="AC51" s="2" t="s">
        <v>732</v>
      </c>
    </row>
    <row r="52" spans="1:29">
      <c r="A52" s="2" t="s">
        <v>715</v>
      </c>
      <c r="B52" s="2" t="s">
        <v>53</v>
      </c>
      <c r="C52" s="6" t="s">
        <v>684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724</v>
      </c>
      <c r="H52" s="11">
        <f t="shared" si="0"/>
        <v>15</v>
      </c>
      <c r="K52" s="2" t="s">
        <v>63</v>
      </c>
      <c r="M52" s="11">
        <f>M46</f>
        <v>17</v>
      </c>
      <c r="N52" s="2" t="s">
        <v>757</v>
      </c>
      <c r="O52" s="11">
        <v>1</v>
      </c>
      <c r="P52" s="11" t="s">
        <v>156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745</v>
      </c>
      <c r="X52" s="9">
        <v>15</v>
      </c>
      <c r="Y52" s="67">
        <v>220</v>
      </c>
      <c r="Z52" s="7"/>
      <c r="AC52" s="2" t="s">
        <v>733</v>
      </c>
    </row>
    <row r="53" spans="1:29">
      <c r="A53" s="2" t="s">
        <v>75</v>
      </c>
      <c r="B53" s="2" t="s">
        <v>53</v>
      </c>
      <c r="C53" s="6" t="s">
        <v>685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628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156</v>
      </c>
      <c r="Q53" s="8">
        <v>2</v>
      </c>
      <c r="R53" s="8"/>
      <c r="S53" s="10">
        <f t="shared" si="1"/>
        <v>578</v>
      </c>
      <c r="T53" s="2" t="s">
        <v>630</v>
      </c>
      <c r="U53" s="2" t="str">
        <f t="shared" si="5"/>
        <v>2</v>
      </c>
      <c r="V53" s="2" t="str">
        <f t="shared" si="5"/>
        <v>0,9</v>
      </c>
      <c r="W53" s="2" t="s">
        <v>745</v>
      </c>
      <c r="X53" s="9">
        <v>15</v>
      </c>
      <c r="Y53" s="67">
        <v>310</v>
      </c>
      <c r="Z53" s="7"/>
      <c r="AC53" s="2" t="s">
        <v>734</v>
      </c>
    </row>
    <row r="54" spans="1:29">
      <c r="A54" s="2" t="s">
        <v>716</v>
      </c>
      <c r="B54" s="2" t="s">
        <v>53</v>
      </c>
      <c r="C54" s="6" t="s">
        <v>761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766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156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745</v>
      </c>
      <c r="X54" s="9">
        <v>15</v>
      </c>
      <c r="Y54" s="67">
        <v>100</v>
      </c>
      <c r="Z54" s="7"/>
      <c r="AC54" s="2"/>
    </row>
    <row r="55" spans="1:29">
      <c r="A55" s="2" t="s">
        <v>717</v>
      </c>
      <c r="B55" s="2" t="s">
        <v>680</v>
      </c>
      <c r="C55" s="6" t="s">
        <v>686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625</v>
      </c>
      <c r="H55" s="11">
        <f t="shared" si="0"/>
        <v>54</v>
      </c>
      <c r="K55" s="2" t="s">
        <v>400</v>
      </c>
      <c r="L55" s="2" t="s">
        <v>748</v>
      </c>
      <c r="M55" s="11">
        <f t="shared" ref="M55:M67" si="6">M49</f>
        <v>17</v>
      </c>
      <c r="N55" s="2">
        <v>1300</v>
      </c>
      <c r="O55" s="11">
        <v>1</v>
      </c>
      <c r="P55" s="11" t="s">
        <v>156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738</v>
      </c>
      <c r="X55" s="9">
        <v>18</v>
      </c>
      <c r="Y55" s="67">
        <v>200</v>
      </c>
      <c r="Z55" s="7"/>
      <c r="AC55" s="2">
        <v>1100</v>
      </c>
    </row>
    <row r="56" spans="1:29">
      <c r="A56" s="2" t="s">
        <v>718</v>
      </c>
      <c r="B56" s="2" t="s">
        <v>680</v>
      </c>
      <c r="C56" s="6" t="s">
        <v>687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626</v>
      </c>
      <c r="H56" s="11">
        <f t="shared" si="0"/>
        <v>9</v>
      </c>
      <c r="K56" s="2" t="s">
        <v>400</v>
      </c>
      <c r="L56" s="2" t="s">
        <v>749</v>
      </c>
      <c r="M56" s="11">
        <f t="shared" si="6"/>
        <v>17</v>
      </c>
      <c r="N56" s="2">
        <v>1400</v>
      </c>
      <c r="O56" s="11">
        <v>1</v>
      </c>
      <c r="P56" s="11" t="s">
        <v>156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738</v>
      </c>
      <c r="X56" s="9">
        <v>18</v>
      </c>
      <c r="Y56" s="67">
        <v>250</v>
      </c>
      <c r="Z56" s="7"/>
      <c r="AC56" s="2">
        <v>1200</v>
      </c>
    </row>
    <row r="57" spans="1:29">
      <c r="A57" s="2" t="s">
        <v>719</v>
      </c>
      <c r="B57" s="2" t="s">
        <v>680</v>
      </c>
      <c r="C57" s="6" t="s">
        <v>688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627</v>
      </c>
      <c r="H57" s="11">
        <f t="shared" si="0"/>
        <v>36</v>
      </c>
      <c r="K57" s="2" t="s">
        <v>400</v>
      </c>
      <c r="L57" s="2" t="s">
        <v>750</v>
      </c>
      <c r="M57" s="11">
        <f t="shared" si="6"/>
        <v>17</v>
      </c>
      <c r="N57" s="2">
        <v>1500</v>
      </c>
      <c r="O57" s="11">
        <v>1</v>
      </c>
      <c r="P57" s="11" t="s">
        <v>156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738</v>
      </c>
      <c r="X57" s="9">
        <v>18</v>
      </c>
      <c r="Y57" s="67">
        <v>230</v>
      </c>
      <c r="Z57" s="7"/>
      <c r="AC57" s="2">
        <v>1300</v>
      </c>
    </row>
    <row r="58" spans="1:29">
      <c r="A58" s="2" t="s">
        <v>111</v>
      </c>
      <c r="B58" s="2" t="s">
        <v>680</v>
      </c>
      <c r="C58" s="6" t="s">
        <v>689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724</v>
      </c>
      <c r="H58" s="11">
        <f t="shared" si="0"/>
        <v>18</v>
      </c>
      <c r="K58" s="2" t="s">
        <v>400</v>
      </c>
      <c r="L58" s="2" t="s">
        <v>751</v>
      </c>
      <c r="M58" s="11">
        <f t="shared" si="6"/>
        <v>17</v>
      </c>
      <c r="N58" s="2" t="s">
        <v>763</v>
      </c>
      <c r="O58" s="11">
        <v>1</v>
      </c>
      <c r="P58" s="11" t="s">
        <v>156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738</v>
      </c>
      <c r="X58" s="9">
        <v>18</v>
      </c>
      <c r="Y58" s="67">
        <v>210</v>
      </c>
      <c r="Z58" s="7"/>
      <c r="AC58" s="2">
        <v>1400</v>
      </c>
    </row>
    <row r="59" spans="1:29">
      <c r="A59" s="2" t="s">
        <v>758</v>
      </c>
      <c r="B59" s="2" t="s">
        <v>680</v>
      </c>
      <c r="C59" s="6" t="s">
        <v>690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628</v>
      </c>
      <c r="H59" s="11">
        <f t="shared" si="0"/>
        <v>16.2</v>
      </c>
      <c r="K59" s="2" t="s">
        <v>400</v>
      </c>
      <c r="L59" s="2" t="s">
        <v>752</v>
      </c>
      <c r="M59" s="11">
        <f t="shared" si="6"/>
        <v>20</v>
      </c>
      <c r="N59" s="2" t="s">
        <v>764</v>
      </c>
      <c r="O59" s="11">
        <v>1</v>
      </c>
      <c r="P59" s="11" t="s">
        <v>156</v>
      </c>
      <c r="Q59" s="8">
        <v>1</v>
      </c>
      <c r="R59" s="8"/>
      <c r="S59" s="10">
        <f t="shared" si="1"/>
        <v>408</v>
      </c>
      <c r="T59" s="2" t="s">
        <v>630</v>
      </c>
      <c r="U59" s="2" t="str">
        <f t="shared" si="5"/>
        <v>2</v>
      </c>
      <c r="V59" s="2" t="str">
        <f t="shared" si="5"/>
        <v>0,9</v>
      </c>
      <c r="W59" s="2" t="s">
        <v>738</v>
      </c>
      <c r="X59" s="9">
        <v>18</v>
      </c>
      <c r="Y59" s="67">
        <v>300</v>
      </c>
      <c r="Z59" s="7"/>
      <c r="AC59" s="2">
        <v>1500</v>
      </c>
    </row>
    <row r="60" spans="1:29">
      <c r="A60" s="2" t="s">
        <v>759</v>
      </c>
      <c r="B60" s="2" t="s">
        <v>680</v>
      </c>
      <c r="C60" s="6" t="s">
        <v>762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766</v>
      </c>
      <c r="H60" s="11">
        <f t="shared" ref="H60:H66" si="9">V60*X60</f>
        <v>3.6</v>
      </c>
      <c r="K60" s="2" t="s">
        <v>400</v>
      </c>
      <c r="L60" s="2" t="s">
        <v>735</v>
      </c>
      <c r="M60" s="11">
        <f t="shared" si="6"/>
        <v>20</v>
      </c>
      <c r="N60" s="2" t="s">
        <v>765</v>
      </c>
      <c r="O60" s="11">
        <v>1</v>
      </c>
      <c r="P60" s="11" t="s">
        <v>156</v>
      </c>
      <c r="Q60" s="8">
        <v>1</v>
      </c>
      <c r="R60" s="8"/>
      <c r="S60" s="10">
        <f t="shared" ref="S60:S66" si="10">U60*$U$1*W60</f>
        <v>265.2</v>
      </c>
      <c r="T60" s="2" t="s">
        <v>630</v>
      </c>
      <c r="U60" s="2" t="str">
        <f t="shared" si="5"/>
        <v>1,3</v>
      </c>
      <c r="V60" s="2" t="str">
        <f t="shared" si="5"/>
        <v>0,2</v>
      </c>
      <c r="W60" s="2" t="s">
        <v>738</v>
      </c>
      <c r="X60" s="9">
        <v>18</v>
      </c>
      <c r="Y60" s="67">
        <v>300</v>
      </c>
      <c r="Z60" s="7"/>
      <c r="AC60" s="2">
        <v>1500</v>
      </c>
    </row>
    <row r="61" spans="1:29">
      <c r="A61" s="2" t="s">
        <v>770</v>
      </c>
      <c r="B61" s="2" t="s">
        <v>53</v>
      </c>
      <c r="C61" s="68" t="s">
        <v>785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626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806</v>
      </c>
      <c r="O61" s="11">
        <v>1</v>
      </c>
      <c r="P61" s="11" t="s">
        <v>769</v>
      </c>
      <c r="Q61" s="8">
        <v>2</v>
      </c>
      <c r="R61" s="8"/>
      <c r="S61" s="10">
        <f t="shared" si="10"/>
        <v>244.8</v>
      </c>
      <c r="T61" s="2" t="s">
        <v>630</v>
      </c>
      <c r="U61" s="2" t="s">
        <v>736</v>
      </c>
      <c r="V61" s="2" t="s">
        <v>82</v>
      </c>
      <c r="W61" s="2" t="s">
        <v>743</v>
      </c>
      <c r="X61" s="9">
        <v>10</v>
      </c>
      <c r="Y61" s="67">
        <v>999</v>
      </c>
      <c r="Z61" s="7"/>
      <c r="AC61" s="2" t="s">
        <v>731</v>
      </c>
    </row>
    <row r="62" spans="1:29">
      <c r="A62" s="2" t="s">
        <v>771</v>
      </c>
      <c r="B62" s="2" t="s">
        <v>52</v>
      </c>
      <c r="C62" s="68" t="s">
        <v>784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777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807</v>
      </c>
      <c r="O62" s="11">
        <v>1</v>
      </c>
      <c r="P62" s="11" t="s">
        <v>769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746</v>
      </c>
      <c r="V62" s="2" t="s">
        <v>736</v>
      </c>
      <c r="W62" s="2" t="s">
        <v>81</v>
      </c>
      <c r="X62" s="9">
        <v>10</v>
      </c>
      <c r="Y62" s="7"/>
      <c r="Z62" s="7"/>
    </row>
    <row r="63" spans="1:29">
      <c r="A63" s="2" t="s">
        <v>471</v>
      </c>
      <c r="B63" s="2" t="s">
        <v>53</v>
      </c>
      <c r="C63" s="68" t="s">
        <v>783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778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808</v>
      </c>
      <c r="O63" s="11">
        <v>1</v>
      </c>
      <c r="P63" s="11" t="s">
        <v>769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743</v>
      </c>
      <c r="X63" s="9">
        <v>10</v>
      </c>
      <c r="Y63" s="7"/>
      <c r="Z63" s="7"/>
    </row>
    <row r="64" spans="1:29">
      <c r="A64" s="2" t="s">
        <v>772</v>
      </c>
      <c r="B64" s="2" t="s">
        <v>52</v>
      </c>
      <c r="C64" s="68" t="s">
        <v>782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809</v>
      </c>
      <c r="O64" s="11">
        <v>1</v>
      </c>
      <c r="P64" s="11" t="s">
        <v>769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773</v>
      </c>
      <c r="B65" s="2" t="s">
        <v>680</v>
      </c>
      <c r="C65" s="68" t="s">
        <v>781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388</v>
      </c>
      <c r="H65" s="11">
        <f t="shared" si="9"/>
        <v>5</v>
      </c>
      <c r="K65" s="2" t="s">
        <v>400</v>
      </c>
      <c r="L65" s="2" t="s">
        <v>775</v>
      </c>
      <c r="M65" s="11">
        <f t="shared" si="6"/>
        <v>20</v>
      </c>
      <c r="N65" s="2" t="s">
        <v>810</v>
      </c>
      <c r="O65" s="11">
        <v>1</v>
      </c>
      <c r="P65" s="11" t="s">
        <v>769</v>
      </c>
      <c r="Q65" s="8">
        <v>1</v>
      </c>
      <c r="R65" s="8"/>
      <c r="S65" s="10">
        <f t="shared" si="10"/>
        <v>285.59999999999997</v>
      </c>
      <c r="T65" s="2" t="s">
        <v>630</v>
      </c>
      <c r="U65" s="2" t="s">
        <v>738</v>
      </c>
      <c r="V65" s="2" t="s">
        <v>102</v>
      </c>
      <c r="W65" s="2" t="s">
        <v>815</v>
      </c>
      <c r="X65" s="9">
        <v>10</v>
      </c>
      <c r="Y65" s="7"/>
      <c r="Z65" s="7"/>
    </row>
    <row r="66" spans="1:26">
      <c r="A66" s="2" t="s">
        <v>774</v>
      </c>
      <c r="B66" s="2" t="s">
        <v>680</v>
      </c>
      <c r="C66" s="68" t="s">
        <v>780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779</v>
      </c>
      <c r="H66" s="11">
        <f t="shared" si="9"/>
        <v>15</v>
      </c>
      <c r="K66" s="2" t="s">
        <v>400</v>
      </c>
      <c r="L66" s="2" t="s">
        <v>776</v>
      </c>
      <c r="M66" s="11">
        <f t="shared" si="6"/>
        <v>20</v>
      </c>
      <c r="N66" s="2" t="s">
        <v>811</v>
      </c>
      <c r="O66" s="11">
        <v>1</v>
      </c>
      <c r="P66" s="11" t="s">
        <v>769</v>
      </c>
      <c r="Q66" s="8">
        <v>1</v>
      </c>
      <c r="R66" s="8"/>
      <c r="S66" s="10">
        <f t="shared" si="10"/>
        <v>249.89999999999998</v>
      </c>
      <c r="T66" s="2" t="s">
        <v>736</v>
      </c>
      <c r="U66" s="2" t="s">
        <v>740</v>
      </c>
      <c r="V66" s="2" t="s">
        <v>472</v>
      </c>
      <c r="W66" s="2" t="s">
        <v>815</v>
      </c>
      <c r="X66" s="9">
        <v>10</v>
      </c>
      <c r="Y66" s="7"/>
      <c r="Z66" s="7"/>
    </row>
    <row r="67" spans="1:26">
      <c r="A67" s="2" t="s">
        <v>812</v>
      </c>
      <c r="B67" s="2" t="s">
        <v>138</v>
      </c>
      <c r="C67" t="s">
        <v>813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779</v>
      </c>
      <c r="H67" s="11">
        <f t="shared" ref="H67" si="13">V67*X67</f>
        <v>15</v>
      </c>
      <c r="J67" s="2" t="s">
        <v>2</v>
      </c>
      <c r="K67" s="2" t="s">
        <v>400</v>
      </c>
      <c r="L67" s="2" t="s">
        <v>814</v>
      </c>
      <c r="M67" s="11">
        <f t="shared" si="6"/>
        <v>17</v>
      </c>
      <c r="N67" s="2"/>
      <c r="O67" s="11">
        <v>1</v>
      </c>
      <c r="P67" s="11" t="s">
        <v>769</v>
      </c>
      <c r="Q67" s="8">
        <v>1</v>
      </c>
      <c r="R67" s="8"/>
      <c r="S67" s="10">
        <f t="shared" ref="S67" si="14">U67*$U$1*W67</f>
        <v>299.20000000000005</v>
      </c>
      <c r="T67" s="2" t="s">
        <v>736</v>
      </c>
      <c r="U67" s="2" t="s">
        <v>747</v>
      </c>
      <c r="V67" s="2" t="s">
        <v>472</v>
      </c>
      <c r="W67" s="2" t="s">
        <v>739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328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375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327</v>
      </c>
      <c r="D87" s="1">
        <v>3</v>
      </c>
      <c r="E87" s="11" t="e">
        <f t="shared" si="15"/>
        <v>#VALUE!</v>
      </c>
      <c r="F87" s="11" t="e">
        <f t="shared" si="16"/>
        <v>#VALUE!</v>
      </c>
      <c r="G87" s="2" t="s">
        <v>376</v>
      </c>
      <c r="H87" s="11">
        <f t="shared" si="17"/>
        <v>0</v>
      </c>
      <c r="K87" s="2" t="s">
        <v>63</v>
      </c>
      <c r="M87" s="11" t="e">
        <f t="shared" si="18"/>
        <v>#VALUE!</v>
      </c>
      <c r="N87" s="11" t="s">
        <v>63</v>
      </c>
      <c r="O87" s="11">
        <v>3</v>
      </c>
      <c r="Q87" s="8">
        <v>1.5</v>
      </c>
      <c r="R87" s="8"/>
      <c r="S87" s="10" t="e">
        <f t="shared" si="19"/>
        <v>#VALUE!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318</v>
      </c>
      <c r="D88" s="1">
        <v>4</v>
      </c>
      <c r="E88" s="11" t="e">
        <f t="shared" si="15"/>
        <v>#VALUE!</v>
      </c>
      <c r="F88" s="11" t="e">
        <f t="shared" si="16"/>
        <v>#VALUE!</v>
      </c>
      <c r="G88" s="2" t="s">
        <v>377</v>
      </c>
      <c r="H88" s="11">
        <f t="shared" si="17"/>
        <v>0</v>
      </c>
      <c r="K88" s="2" t="s">
        <v>63</v>
      </c>
      <c r="M88" s="11" t="e">
        <f t="shared" si="18"/>
        <v>#VALUE!</v>
      </c>
      <c r="N88" s="11" t="s">
        <v>63</v>
      </c>
      <c r="O88" s="11">
        <v>4</v>
      </c>
      <c r="Q88" s="8">
        <v>1.5</v>
      </c>
      <c r="R88" s="8"/>
      <c r="S88" s="10" t="e">
        <f t="shared" si="19"/>
        <v>#VALUE!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319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378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320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379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321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323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322</v>
      </c>
      <c r="D93" s="1">
        <v>3</v>
      </c>
      <c r="E93" s="11" t="e">
        <f t="shared" si="15"/>
        <v>#VALUE!</v>
      </c>
      <c r="F93" s="11" t="e">
        <f t="shared" si="16"/>
        <v>#VALUE!</v>
      </c>
      <c r="H93" s="11">
        <f t="shared" si="17"/>
        <v>0</v>
      </c>
      <c r="K93" s="2" t="s">
        <v>63</v>
      </c>
      <c r="M93" s="11" t="e">
        <f t="shared" si="18"/>
        <v>#VALUE!</v>
      </c>
      <c r="N93" s="11" t="s">
        <v>81</v>
      </c>
      <c r="O93" s="1">
        <v>3</v>
      </c>
      <c r="Q93" s="8">
        <v>1</v>
      </c>
      <c r="R93" s="8"/>
      <c r="S93" s="10" t="e">
        <f t="shared" si="19"/>
        <v>#VALUE!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324</v>
      </c>
      <c r="D94" s="1">
        <v>4</v>
      </c>
      <c r="E94" s="11" t="e">
        <f t="shared" si="15"/>
        <v>#VALUE!</v>
      </c>
      <c r="F94" s="11" t="e">
        <f t="shared" si="16"/>
        <v>#VALUE!</v>
      </c>
      <c r="H94" s="11">
        <f t="shared" si="17"/>
        <v>0</v>
      </c>
      <c r="K94" s="2" t="s">
        <v>63</v>
      </c>
      <c r="M94" s="11" t="e">
        <f t="shared" si="18"/>
        <v>#VALUE!</v>
      </c>
      <c r="N94" s="11" t="s">
        <v>81</v>
      </c>
      <c r="O94" s="1">
        <v>4</v>
      </c>
      <c r="Q94" s="8">
        <v>1</v>
      </c>
      <c r="R94" s="8"/>
      <c r="S94" s="10" t="e">
        <f t="shared" si="19"/>
        <v>#VALUE!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325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326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329</v>
      </c>
      <c r="D97" s="1">
        <v>1</v>
      </c>
      <c r="E97" s="11" t="e">
        <f t="shared" si="15"/>
        <v>#VALUE!</v>
      </c>
      <c r="F97" s="11" t="e">
        <f t="shared" si="16"/>
        <v>#VALUE!</v>
      </c>
      <c r="G97" s="2" t="s">
        <v>62</v>
      </c>
      <c r="H97" s="11" t="e">
        <f t="shared" si="17"/>
        <v>#VALUE!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 t="e">
        <f t="shared" si="19"/>
        <v>#VALUE!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118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 t="e">
        <f t="shared" si="17"/>
        <v>#VALUE!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330</v>
      </c>
      <c r="D99" s="1">
        <v>2</v>
      </c>
      <c r="E99" s="11" t="e">
        <f t="shared" si="15"/>
        <v>#VALUE!</v>
      </c>
      <c r="F99" s="11" t="e">
        <f t="shared" si="16"/>
        <v>#VALUE!</v>
      </c>
      <c r="G99" s="2" t="s">
        <v>62</v>
      </c>
      <c r="H99" s="11" t="e">
        <f t="shared" si="17"/>
        <v>#VALUE!</v>
      </c>
      <c r="I99" s="2" t="s">
        <v>400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 t="e">
        <f t="shared" si="19"/>
        <v>#VALUE!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118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 t="e">
        <f t="shared" si="17"/>
        <v>#VALUE!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122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 t="e">
        <f t="shared" si="15"/>
        <v>#VALUE!</v>
      </c>
      <c r="F101" s="11" t="e">
        <f t="shared" si="16"/>
        <v>#VALUE!</v>
      </c>
      <c r="G101" s="2" t="s">
        <v>62</v>
      </c>
      <c r="H101" s="11" t="e">
        <f t="shared" si="17"/>
        <v>#VALUE!</v>
      </c>
      <c r="I101" s="2" t="s">
        <v>417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 t="e">
        <f t="shared" si="19"/>
        <v>#VALUE!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118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 t="e">
        <f t="shared" si="17"/>
        <v>#VALUE!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472</v>
      </c>
      <c r="V102" s="3" t="s">
        <v>110</v>
      </c>
      <c r="X102" s="3" t="s">
        <v>471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 t="e">
        <f t="shared" si="15"/>
        <v>#VALUE!</v>
      </c>
      <c r="F103" s="11" t="e">
        <f t="shared" si="16"/>
        <v>#VALUE!</v>
      </c>
      <c r="G103" s="2" t="s">
        <v>62</v>
      </c>
      <c r="H103" s="11" t="e">
        <f t="shared" si="17"/>
        <v>#VALUE!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 t="e">
        <f t="shared" si="19"/>
        <v>#VALUE!</v>
      </c>
    </row>
    <row r="104" spans="1:41">
      <c r="A104" s="2">
        <v>26</v>
      </c>
      <c r="B104" s="2" t="s">
        <v>118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 t="e">
        <f t="shared" si="17"/>
        <v>#VALUE!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118</v>
      </c>
      <c r="Z104" s="12" t="s">
        <v>49</v>
      </c>
      <c r="AA104" s="12" t="s">
        <v>84</v>
      </c>
      <c r="AB104" s="12" t="s">
        <v>50</v>
      </c>
      <c r="AC104" s="12" t="s">
        <v>117</v>
      </c>
      <c r="AD104" s="12" t="s">
        <v>51</v>
      </c>
      <c r="AE104" s="12" t="s">
        <v>119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139</v>
      </c>
      <c r="AN104" s="3" t="s">
        <v>397</v>
      </c>
      <c r="AO104" s="3" t="s">
        <v>398</v>
      </c>
    </row>
    <row r="105" spans="1:41">
      <c r="A105" s="2">
        <v>27</v>
      </c>
      <c r="B105" s="2" t="s">
        <v>48</v>
      </c>
      <c r="C105" s="4" t="s">
        <v>331</v>
      </c>
      <c r="D105" s="1">
        <v>5</v>
      </c>
      <c r="E105" s="11" t="e">
        <f t="shared" si="15"/>
        <v>#VALUE!</v>
      </c>
      <c r="F105" s="11" t="e">
        <f t="shared" si="16"/>
        <v>#VALUE!</v>
      </c>
      <c r="G105" s="2" t="s">
        <v>62</v>
      </c>
      <c r="H105" s="11" t="e">
        <f t="shared" si="17"/>
        <v>#VALUE!</v>
      </c>
      <c r="I105" s="2" t="s">
        <v>418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 t="e">
        <f t="shared" si="19"/>
        <v>#VALUE!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118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 t="e">
        <f t="shared" si="17"/>
        <v>#VALUE!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447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 t="e">
        <f t="shared" si="15"/>
        <v>#VALUE!</v>
      </c>
      <c r="F107" s="11" t="e">
        <f t="shared" si="16"/>
        <v>#VALUE!</v>
      </c>
      <c r="G107" s="2" t="s">
        <v>62</v>
      </c>
      <c r="H107" s="11" t="e">
        <f t="shared" si="17"/>
        <v>#VALUE!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 t="e">
        <f t="shared" si="19"/>
        <v>#VALUE!</v>
      </c>
      <c r="U107" s="3" t="s">
        <v>120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400</v>
      </c>
      <c r="AO107" s="2" t="s">
        <v>3</v>
      </c>
    </row>
    <row r="108" spans="1:41">
      <c r="A108" s="2">
        <v>30</v>
      </c>
      <c r="B108" s="2" t="s">
        <v>118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 t="e">
        <f t="shared" si="17"/>
        <v>#VALUE!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121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401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402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476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411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403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404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477</v>
      </c>
      <c r="D113" s="1">
        <v>3</v>
      </c>
      <c r="E113" s="11" t="e">
        <f t="shared" ref="E113:E143" si="21">DAMAGE_BASE(B113,S113)</f>
        <v>#VALUE!</v>
      </c>
      <c r="F113" s="11" t="e">
        <f t="shared" ref="F113:F143" si="22">DAMAGE_RAND(B113,S113)</f>
        <v>#VALUE!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 t="e">
        <f t="shared" ref="S113:S143" si="24">DAMAGE_TOTAL(B113,N113,Q113,O113)</f>
        <v>#VALUE!</v>
      </c>
      <c r="U113" s="3" t="s">
        <v>405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406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478</v>
      </c>
      <c r="D115" s="1">
        <v>4</v>
      </c>
      <c r="E115" s="11" t="e">
        <f t="shared" si="21"/>
        <v>#VALUE!</v>
      </c>
      <c r="F115" s="11" t="e">
        <f t="shared" si="22"/>
        <v>#VALUE!</v>
      </c>
      <c r="G115" s="2" t="s">
        <v>371</v>
      </c>
      <c r="H115" s="11">
        <f t="shared" si="23"/>
        <v>0</v>
      </c>
      <c r="I115" s="2" t="s">
        <v>411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 t="e">
        <f t="shared" si="24"/>
        <v>#VALUE!</v>
      </c>
      <c r="U115" s="3" t="s">
        <v>407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408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332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372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409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410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333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451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399</v>
      </c>
      <c r="K123" s="2" t="s">
        <v>452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 t="e">
        <f t="shared" si="21"/>
        <v>#VALUE!</v>
      </c>
      <c r="F125" s="11" t="e">
        <f t="shared" si="22"/>
        <v>#VALUE!</v>
      </c>
      <c r="G125" s="2" t="s">
        <v>62</v>
      </c>
      <c r="H125" s="11">
        <f t="shared" si="23"/>
        <v>0</v>
      </c>
      <c r="I125" s="2" t="s">
        <v>3</v>
      </c>
      <c r="K125" s="2" t="s">
        <v>453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 t="e">
        <f t="shared" si="24"/>
        <v>#VALUE!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 t="e">
        <f t="shared" si="21"/>
        <v>#VALUE!</v>
      </c>
      <c r="F127" s="11" t="e">
        <f t="shared" si="22"/>
        <v>#VALUE!</v>
      </c>
      <c r="G127" s="2" t="s">
        <v>62</v>
      </c>
      <c r="H127" s="11">
        <f t="shared" si="23"/>
        <v>0</v>
      </c>
      <c r="I127" s="2" t="s">
        <v>3</v>
      </c>
      <c r="K127" s="2" t="s">
        <v>454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 t="e">
        <f t="shared" si="24"/>
        <v>#VALUE!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335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400</v>
      </c>
      <c r="K129" s="2" t="s">
        <v>455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336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380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 t="e">
        <f t="shared" si="21"/>
        <v>#VALUE!</v>
      </c>
      <c r="F135" s="11" t="e">
        <f t="shared" si="22"/>
        <v>#VALUE!</v>
      </c>
      <c r="G135" s="2" t="s">
        <v>63</v>
      </c>
      <c r="H135" s="11">
        <f t="shared" si="23"/>
        <v>0</v>
      </c>
      <c r="K135" s="2" t="s">
        <v>63</v>
      </c>
      <c r="M135" s="11" t="e">
        <f t="shared" si="25"/>
        <v>#VALUE!</v>
      </c>
      <c r="N135" s="11">
        <v>2</v>
      </c>
      <c r="O135" s="11">
        <v>3</v>
      </c>
      <c r="Q135" s="8">
        <f>Q134</f>
        <v>2</v>
      </c>
      <c r="R135" s="8"/>
      <c r="S135" s="10" t="e">
        <f t="shared" si="24"/>
        <v>#VALUE!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 t="e">
        <f t="shared" si="21"/>
        <v>#VALUE!</v>
      </c>
      <c r="F136" s="11" t="e">
        <f t="shared" si="22"/>
        <v>#VALUE!</v>
      </c>
      <c r="G136" s="2" t="s">
        <v>63</v>
      </c>
      <c r="H136" s="11">
        <f t="shared" si="23"/>
        <v>0</v>
      </c>
      <c r="K136" s="2" t="s">
        <v>63</v>
      </c>
      <c r="M136" s="11" t="e">
        <f t="shared" si="25"/>
        <v>#VALUE!</v>
      </c>
      <c r="N136" s="11">
        <v>2</v>
      </c>
      <c r="O136" s="11">
        <v>4</v>
      </c>
      <c r="Q136" s="8">
        <f>Q135</f>
        <v>2</v>
      </c>
      <c r="R136" s="8"/>
      <c r="S136" s="10" t="e">
        <f t="shared" si="24"/>
        <v>#VALUE!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337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339</v>
      </c>
      <c r="C139" s="4" t="s">
        <v>340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339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341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339</v>
      </c>
      <c r="C141" s="4" t="s">
        <v>342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339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341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339</v>
      </c>
      <c r="C143" s="4" t="s">
        <v>343</v>
      </c>
      <c r="D143" s="1">
        <v>3</v>
      </c>
      <c r="E143" s="11" t="e">
        <f t="shared" si="21"/>
        <v>#VALUE!</v>
      </c>
      <c r="F143" s="11" t="e">
        <f t="shared" si="22"/>
        <v>#VALUE!</v>
      </c>
      <c r="G143" s="2" t="s">
        <v>85</v>
      </c>
      <c r="H143" s="11">
        <f t="shared" si="23"/>
        <v>0</v>
      </c>
      <c r="K143" s="2" t="s">
        <v>6</v>
      </c>
      <c r="L143" s="2" t="s">
        <v>339</v>
      </c>
      <c r="M143" s="11" t="e">
        <f t="shared" si="25"/>
        <v>#VALUE!</v>
      </c>
      <c r="N143" s="11">
        <v>2</v>
      </c>
      <c r="O143" s="11">
        <v>3</v>
      </c>
      <c r="Q143" s="8">
        <v>0.6</v>
      </c>
      <c r="R143" s="8"/>
      <c r="S143" s="10" t="e">
        <f t="shared" si="24"/>
        <v>#VALUE!</v>
      </c>
    </row>
    <row r="144" spans="1:21">
      <c r="A144" s="2">
        <v>66</v>
      </c>
      <c r="B144" s="2" t="s">
        <v>341</v>
      </c>
      <c r="C144" s="4"/>
      <c r="E144" s="11" t="e">
        <f t="shared" ref="E144:E192" si="26">DAMAGE_BASE(B144,S144)</f>
        <v>#VALUE!</v>
      </c>
      <c r="F144" s="11" t="e">
        <f t="shared" ref="F144:F192" si="27">DAMAGE_RAND(B144,S144)</f>
        <v>#VALUE!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 t="e">
        <f t="shared" ref="M144:M151" si="29">Q144*S144*(100+H144*2)/10</f>
        <v>#VALUE!</v>
      </c>
      <c r="N144" s="11">
        <v>2</v>
      </c>
      <c r="O144" s="11">
        <v>3</v>
      </c>
      <c r="Q144" s="8">
        <v>3</v>
      </c>
      <c r="R144" s="8"/>
      <c r="S144" s="10" t="e">
        <f t="shared" ref="S144:S207" si="30">DAMAGE_TOTAL(B144,N144,Q144,O144)</f>
        <v>#VALUE!</v>
      </c>
    </row>
    <row r="145" spans="1:19">
      <c r="A145" s="2">
        <v>67</v>
      </c>
      <c r="B145" s="2" t="s">
        <v>339</v>
      </c>
      <c r="C145" s="4" t="s">
        <v>344</v>
      </c>
      <c r="D145" s="1">
        <v>4</v>
      </c>
      <c r="E145" s="11" t="e">
        <f t="shared" si="26"/>
        <v>#VALUE!</v>
      </c>
      <c r="F145" s="11" t="e">
        <f t="shared" si="27"/>
        <v>#VALUE!</v>
      </c>
      <c r="G145" s="2" t="s">
        <v>383</v>
      </c>
      <c r="H145" s="11">
        <f t="shared" si="28"/>
        <v>0</v>
      </c>
      <c r="K145" s="2" t="s">
        <v>6</v>
      </c>
      <c r="L145" s="2" t="s">
        <v>339</v>
      </c>
      <c r="M145" s="11" t="e">
        <f t="shared" si="29"/>
        <v>#VALUE!</v>
      </c>
      <c r="N145" s="11">
        <v>2</v>
      </c>
      <c r="O145" s="11">
        <v>4</v>
      </c>
      <c r="Q145" s="8">
        <v>0.6</v>
      </c>
      <c r="R145" s="8"/>
      <c r="S145" s="10" t="e">
        <f t="shared" si="30"/>
        <v>#VALUE!</v>
      </c>
    </row>
    <row r="146" spans="1:19">
      <c r="A146" s="2">
        <v>68</v>
      </c>
      <c r="B146" s="2" t="s">
        <v>341</v>
      </c>
      <c r="C146" s="4"/>
      <c r="E146" s="11" t="e">
        <f t="shared" si="26"/>
        <v>#VALUE!</v>
      </c>
      <c r="F146" s="11" t="e">
        <f t="shared" si="27"/>
        <v>#VALUE!</v>
      </c>
      <c r="G146" s="2" t="s">
        <v>383</v>
      </c>
      <c r="H146" s="11">
        <f t="shared" si="28"/>
        <v>0</v>
      </c>
      <c r="K146" s="2" t="s">
        <v>63</v>
      </c>
      <c r="M146" s="11" t="e">
        <f t="shared" si="29"/>
        <v>#VALUE!</v>
      </c>
      <c r="N146" s="11">
        <v>2</v>
      </c>
      <c r="O146" s="11">
        <v>4</v>
      </c>
      <c r="Q146" s="8">
        <v>3</v>
      </c>
      <c r="R146" s="8"/>
      <c r="S146" s="10" t="e">
        <f t="shared" si="30"/>
        <v>#VALUE!</v>
      </c>
    </row>
    <row r="147" spans="1:19">
      <c r="A147" s="2">
        <v>69</v>
      </c>
      <c r="B147" s="2" t="s">
        <v>339</v>
      </c>
      <c r="C147" s="4" t="s">
        <v>345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384</v>
      </c>
      <c r="H147" s="11">
        <f t="shared" si="28"/>
        <v>0</v>
      </c>
      <c r="K147" s="2" t="s">
        <v>6</v>
      </c>
      <c r="L147" s="2" t="s">
        <v>339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341</v>
      </c>
      <c r="C148" s="4"/>
      <c r="E148" s="11">
        <f t="shared" si="26"/>
        <v>0</v>
      </c>
      <c r="F148" s="11">
        <f t="shared" si="27"/>
        <v>0</v>
      </c>
      <c r="G148" s="2" t="s">
        <v>384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339</v>
      </c>
      <c r="C149" s="4" t="s">
        <v>346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385</v>
      </c>
      <c r="H149" s="11">
        <f t="shared" si="28"/>
        <v>0</v>
      </c>
      <c r="K149" s="2" t="s">
        <v>6</v>
      </c>
      <c r="L149" s="2" t="s">
        <v>339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341</v>
      </c>
      <c r="C150" s="4"/>
      <c r="E150" s="11">
        <f t="shared" si="26"/>
        <v>0</v>
      </c>
      <c r="F150" s="11">
        <f t="shared" si="27"/>
        <v>0</v>
      </c>
      <c r="G150" s="2" t="s">
        <v>385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348</v>
      </c>
      <c r="D153" s="1">
        <v>3</v>
      </c>
      <c r="E153" s="11" t="e">
        <f t="shared" si="26"/>
        <v>#VALUE!</v>
      </c>
      <c r="F153" s="11" t="e">
        <f t="shared" si="27"/>
        <v>#VALUE!</v>
      </c>
      <c r="G153" s="2" t="s">
        <v>387</v>
      </c>
      <c r="H153" s="11">
        <f t="shared" si="28"/>
        <v>0</v>
      </c>
      <c r="K153" s="2" t="s">
        <v>81</v>
      </c>
      <c r="M153" s="11" t="e">
        <f t="shared" si="31"/>
        <v>#VALUE!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 t="e">
        <f t="shared" si="30"/>
        <v>#VALUE!</v>
      </c>
    </row>
    <row r="154" spans="1:19">
      <c r="A154" s="2">
        <v>76</v>
      </c>
      <c r="B154" s="2" t="s">
        <v>53</v>
      </c>
      <c r="C154" s="4" t="s">
        <v>349</v>
      </c>
      <c r="D154" s="1">
        <v>4</v>
      </c>
      <c r="E154" s="11" t="e">
        <f t="shared" si="26"/>
        <v>#VALUE!</v>
      </c>
      <c r="F154" s="11" t="e">
        <f t="shared" si="27"/>
        <v>#VALUE!</v>
      </c>
      <c r="G154" s="2" t="s">
        <v>388</v>
      </c>
      <c r="H154" s="11">
        <f t="shared" si="28"/>
        <v>0</v>
      </c>
      <c r="K154" s="2" t="s">
        <v>81</v>
      </c>
      <c r="M154" s="11" t="e">
        <f t="shared" si="31"/>
        <v>#VALUE!</v>
      </c>
      <c r="N154" s="11" t="s">
        <v>63</v>
      </c>
      <c r="O154" s="11">
        <v>4</v>
      </c>
      <c r="Q154" s="8">
        <f t="shared" si="32"/>
        <v>1.5</v>
      </c>
      <c r="R154" s="8"/>
      <c r="S154" s="10" t="e">
        <f t="shared" si="30"/>
        <v>#VALUE!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16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115.49999713897705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7.6999998092651367</v>
      </c>
    </row>
    <row r="156" spans="1:19">
      <c r="A156" s="2">
        <v>78</v>
      </c>
      <c r="B156" s="2" t="s">
        <v>53</v>
      </c>
      <c r="C156" s="4" t="s">
        <v>350</v>
      </c>
      <c r="D156" s="1">
        <v>6</v>
      </c>
      <c r="E156" s="11">
        <f t="shared" si="26"/>
        <v>0</v>
      </c>
      <c r="F156" s="11">
        <f t="shared" si="27"/>
        <v>30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230.9999942779541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15.399999618530273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351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413</v>
      </c>
      <c r="D159" s="1">
        <v>9</v>
      </c>
      <c r="E159" s="11" t="e">
        <f t="shared" si="26"/>
        <v>#VALUE!</v>
      </c>
      <c r="F159" s="11" t="e">
        <f t="shared" si="27"/>
        <v>#VALUE!</v>
      </c>
      <c r="G159" s="2" t="s">
        <v>68</v>
      </c>
      <c r="H159" s="11">
        <f t="shared" si="28"/>
        <v>0</v>
      </c>
      <c r="K159" s="2" t="s">
        <v>81</v>
      </c>
      <c r="M159" s="11" t="e">
        <f t="shared" si="31"/>
        <v>#VALUE!</v>
      </c>
      <c r="N159" s="11">
        <v>3</v>
      </c>
      <c r="O159" s="11">
        <v>3</v>
      </c>
      <c r="Q159" s="8">
        <f t="shared" si="32"/>
        <v>1.5</v>
      </c>
      <c r="R159" s="8"/>
      <c r="S159" s="10" t="e">
        <f t="shared" si="30"/>
        <v>#VALUE!</v>
      </c>
    </row>
    <row r="160" spans="1:19">
      <c r="A160" s="2">
        <v>82</v>
      </c>
      <c r="B160" s="2" t="s">
        <v>53</v>
      </c>
      <c r="C160" s="4" t="s">
        <v>414</v>
      </c>
      <c r="D160" s="1">
        <v>10</v>
      </c>
      <c r="E160" s="11" t="e">
        <f t="shared" si="26"/>
        <v>#VALUE!</v>
      </c>
      <c r="F160" s="11" t="e">
        <f t="shared" si="27"/>
        <v>#VALUE!</v>
      </c>
      <c r="G160" s="2" t="s">
        <v>375</v>
      </c>
      <c r="H160" s="11">
        <f t="shared" si="28"/>
        <v>0</v>
      </c>
      <c r="K160" s="2" t="s">
        <v>81</v>
      </c>
      <c r="M160" s="11" t="e">
        <f t="shared" si="31"/>
        <v>#VALUE!</v>
      </c>
      <c r="N160" s="11">
        <v>3</v>
      </c>
      <c r="O160" s="11">
        <v>4</v>
      </c>
      <c r="Q160" s="8">
        <f t="shared" si="32"/>
        <v>1.5</v>
      </c>
      <c r="R160" s="8"/>
      <c r="S160" s="10" t="e">
        <f t="shared" si="30"/>
        <v>#VALUE!</v>
      </c>
    </row>
    <row r="161" spans="1:19">
      <c r="A161" s="2">
        <v>83</v>
      </c>
      <c r="B161" s="2" t="s">
        <v>53</v>
      </c>
      <c r="C161" s="4" t="s">
        <v>415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416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353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 t="e">
        <f t="shared" si="26"/>
        <v>#VALUE!</v>
      </c>
      <c r="F165" s="11" t="e">
        <f t="shared" si="27"/>
        <v>#VALUE!</v>
      </c>
      <c r="G165" s="2" t="s">
        <v>65</v>
      </c>
      <c r="H165" s="11">
        <f t="shared" si="28"/>
        <v>0</v>
      </c>
      <c r="K165" s="2" t="s">
        <v>81</v>
      </c>
      <c r="M165" s="11" t="e">
        <f t="shared" si="31"/>
        <v>#VALUE!</v>
      </c>
      <c r="N165" s="11">
        <v>4</v>
      </c>
      <c r="O165" s="11">
        <v>3</v>
      </c>
      <c r="Q165" s="8">
        <f t="shared" si="32"/>
        <v>1.5</v>
      </c>
      <c r="R165" s="8"/>
      <c r="S165" s="10" t="e">
        <f t="shared" si="30"/>
        <v>#VALUE!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 t="e">
        <f t="shared" si="26"/>
        <v>#VALUE!</v>
      </c>
      <c r="F166" s="11" t="e">
        <f t="shared" si="27"/>
        <v>#VALUE!</v>
      </c>
      <c r="G166" s="2" t="s">
        <v>389</v>
      </c>
      <c r="H166" s="11">
        <f t="shared" si="28"/>
        <v>0</v>
      </c>
      <c r="K166" s="2" t="s">
        <v>81</v>
      </c>
      <c r="M166" s="11" t="e">
        <f t="shared" si="31"/>
        <v>#VALUE!</v>
      </c>
      <c r="N166" s="11">
        <v>4</v>
      </c>
      <c r="O166" s="11">
        <v>4</v>
      </c>
      <c r="Q166" s="8">
        <f t="shared" si="32"/>
        <v>1.5</v>
      </c>
      <c r="R166" s="8"/>
      <c r="S166" s="10" t="e">
        <f t="shared" si="30"/>
        <v>#VALUE!</v>
      </c>
    </row>
    <row r="167" spans="1:19">
      <c r="A167" s="2">
        <v>89</v>
      </c>
      <c r="B167" s="2" t="s">
        <v>53</v>
      </c>
      <c r="C167" s="4" t="s">
        <v>352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138</v>
      </c>
      <c r="C169" s="4" t="s">
        <v>354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144</v>
      </c>
      <c r="H169" s="11">
        <f t="shared" si="28"/>
        <v>0</v>
      </c>
      <c r="K169" s="2" t="s">
        <v>73</v>
      </c>
      <c r="L169" s="2" t="s">
        <v>140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138</v>
      </c>
      <c r="C170" s="4" t="s">
        <v>355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144</v>
      </c>
      <c r="H170" s="11">
        <f t="shared" si="28"/>
        <v>0</v>
      </c>
      <c r="K170" s="2" t="s">
        <v>73</v>
      </c>
      <c r="L170" s="2" t="s">
        <v>140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138</v>
      </c>
      <c r="C171" s="4" t="s">
        <v>142</v>
      </c>
      <c r="D171" s="1">
        <v>3</v>
      </c>
      <c r="E171" s="11" t="e">
        <f t="shared" si="26"/>
        <v>#VALUE!</v>
      </c>
      <c r="F171" s="11" t="e">
        <f t="shared" si="27"/>
        <v>#VALUE!</v>
      </c>
      <c r="G171" s="2" t="s">
        <v>390</v>
      </c>
      <c r="H171" s="11">
        <f t="shared" si="28"/>
        <v>0</v>
      </c>
      <c r="K171" s="2" t="s">
        <v>73</v>
      </c>
      <c r="L171" s="2" t="s">
        <v>140</v>
      </c>
      <c r="M171" s="11" t="e">
        <f t="shared" si="33"/>
        <v>#VALUE!</v>
      </c>
      <c r="N171" s="11">
        <v>1</v>
      </c>
      <c r="O171" s="11">
        <v>3</v>
      </c>
      <c r="Q171" s="8">
        <f>Q170</f>
        <v>1</v>
      </c>
      <c r="R171" s="8"/>
      <c r="S171" s="10" t="e">
        <f t="shared" si="30"/>
        <v>#VALUE!</v>
      </c>
    </row>
    <row r="172" spans="1:19">
      <c r="A172" s="2">
        <v>94</v>
      </c>
      <c r="B172" s="2" t="s">
        <v>138</v>
      </c>
      <c r="C172" s="4" t="s">
        <v>141</v>
      </c>
      <c r="D172" s="1">
        <v>4</v>
      </c>
      <c r="E172" s="11" t="e">
        <f t="shared" si="26"/>
        <v>#VALUE!</v>
      </c>
      <c r="F172" s="11" t="e">
        <f t="shared" si="27"/>
        <v>#VALUE!</v>
      </c>
      <c r="G172" s="2" t="s">
        <v>145</v>
      </c>
      <c r="H172" s="11">
        <f t="shared" si="28"/>
        <v>0</v>
      </c>
      <c r="K172" s="2" t="s">
        <v>73</v>
      </c>
      <c r="L172" s="2" t="s">
        <v>140</v>
      </c>
      <c r="M172" s="11" t="e">
        <f t="shared" si="33"/>
        <v>#VALUE!</v>
      </c>
      <c r="N172" s="11">
        <v>1</v>
      </c>
      <c r="O172" s="11">
        <v>4</v>
      </c>
      <c r="Q172" s="8">
        <f>Q171</f>
        <v>1</v>
      </c>
      <c r="R172" s="8"/>
      <c r="S172" s="10" t="e">
        <f t="shared" si="30"/>
        <v>#VALUE!</v>
      </c>
    </row>
    <row r="173" spans="1:19">
      <c r="A173" s="2">
        <v>95</v>
      </c>
      <c r="B173" s="2" t="s">
        <v>138</v>
      </c>
      <c r="C173" s="4" t="s">
        <v>143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390</v>
      </c>
      <c r="H173" s="11">
        <f t="shared" si="28"/>
        <v>0</v>
      </c>
      <c r="K173" s="2" t="s">
        <v>73</v>
      </c>
      <c r="L173" s="2" t="s">
        <v>140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138</v>
      </c>
      <c r="C174" s="4" t="s">
        <v>356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145</v>
      </c>
      <c r="H174" s="11">
        <f t="shared" si="28"/>
        <v>0</v>
      </c>
      <c r="K174" s="2" t="s">
        <v>73</v>
      </c>
      <c r="L174" s="2" t="s">
        <v>140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357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358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359</v>
      </c>
      <c r="D177" s="1">
        <v>3</v>
      </c>
      <c r="E177" s="11" t="e">
        <f t="shared" si="26"/>
        <v>#VALUE!</v>
      </c>
      <c r="F177" s="11" t="e">
        <f t="shared" si="27"/>
        <v>#VALUE!</v>
      </c>
      <c r="G177" s="2" t="s">
        <v>63</v>
      </c>
      <c r="H177" s="11">
        <f t="shared" si="28"/>
        <v>0</v>
      </c>
      <c r="K177" s="2" t="s">
        <v>81</v>
      </c>
      <c r="M177" s="11" t="e">
        <f t="shared" si="31"/>
        <v>#VALUE!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 t="e">
        <f t="shared" si="30"/>
        <v>#VALUE!</v>
      </c>
    </row>
    <row r="178" spans="1:19">
      <c r="A178" s="2">
        <v>100</v>
      </c>
      <c r="B178" s="2" t="s">
        <v>52</v>
      </c>
      <c r="C178" s="4" t="s">
        <v>360</v>
      </c>
      <c r="D178" s="1">
        <v>4</v>
      </c>
      <c r="E178" s="11" t="e">
        <f t="shared" si="26"/>
        <v>#VALUE!</v>
      </c>
      <c r="F178" s="11" t="e">
        <f t="shared" si="27"/>
        <v>#VALUE!</v>
      </c>
      <c r="G178" s="2" t="s">
        <v>66</v>
      </c>
      <c r="H178" s="11">
        <f t="shared" si="28"/>
        <v>0</v>
      </c>
      <c r="K178" s="2" t="s">
        <v>81</v>
      </c>
      <c r="M178" s="11" t="e">
        <f t="shared" si="31"/>
        <v>#VALUE!</v>
      </c>
      <c r="N178" s="11">
        <v>2</v>
      </c>
      <c r="O178" s="11">
        <v>4</v>
      </c>
      <c r="Q178" s="8">
        <f t="shared" si="34"/>
        <v>1.5</v>
      </c>
      <c r="R178" s="8"/>
      <c r="S178" s="10" t="e">
        <f t="shared" si="30"/>
        <v>#VALUE!</v>
      </c>
    </row>
    <row r="179" spans="1:19">
      <c r="A179" s="2">
        <v>101</v>
      </c>
      <c r="B179" s="2" t="s">
        <v>52</v>
      </c>
      <c r="C179" s="4" t="s">
        <v>361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391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362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363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392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 t="e">
        <f t="shared" si="26"/>
        <v>#VALUE!</v>
      </c>
      <c r="F183" s="11" t="e">
        <f t="shared" si="27"/>
        <v>#VALUE!</v>
      </c>
      <c r="G183" s="2" t="s">
        <v>63</v>
      </c>
      <c r="H183" s="11">
        <f t="shared" si="28"/>
        <v>0</v>
      </c>
      <c r="K183" s="2" t="s">
        <v>81</v>
      </c>
      <c r="M183" s="11" t="e">
        <f t="shared" si="31"/>
        <v>#VALUE!</v>
      </c>
      <c r="N183" s="11">
        <v>4</v>
      </c>
      <c r="O183" s="11">
        <v>3</v>
      </c>
      <c r="Q183" s="8">
        <f t="shared" si="34"/>
        <v>1.5</v>
      </c>
      <c r="R183" s="8"/>
      <c r="S183" s="10" t="e">
        <f t="shared" si="30"/>
        <v>#VALUE!</v>
      </c>
    </row>
    <row r="184" spans="1:19">
      <c r="A184" s="2">
        <v>106</v>
      </c>
      <c r="B184" s="2" t="s">
        <v>52</v>
      </c>
      <c r="C184" s="4" t="s">
        <v>365</v>
      </c>
      <c r="D184" s="1">
        <v>10</v>
      </c>
      <c r="E184" s="11" t="e">
        <f t="shared" si="26"/>
        <v>#VALUE!</v>
      </c>
      <c r="F184" s="11" t="e">
        <f t="shared" si="27"/>
        <v>#VALUE!</v>
      </c>
      <c r="G184" s="2" t="s">
        <v>378</v>
      </c>
      <c r="H184" s="11">
        <f t="shared" si="28"/>
        <v>0</v>
      </c>
      <c r="K184" s="2" t="s">
        <v>81</v>
      </c>
      <c r="M184" s="11" t="e">
        <f t="shared" si="31"/>
        <v>#VALUE!</v>
      </c>
      <c r="N184" s="11">
        <v>4</v>
      </c>
      <c r="O184" s="11">
        <v>4</v>
      </c>
      <c r="Q184" s="8">
        <f t="shared" si="34"/>
        <v>1.5</v>
      </c>
      <c r="R184" s="8"/>
      <c r="S184" s="10" t="e">
        <f t="shared" si="30"/>
        <v>#VALUE!</v>
      </c>
    </row>
    <row r="185" spans="1:19">
      <c r="A185" s="2">
        <v>107</v>
      </c>
      <c r="B185" s="2" t="s">
        <v>52</v>
      </c>
      <c r="C185" s="4" t="s">
        <v>364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393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392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366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394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367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395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368</v>
      </c>
      <c r="D189" s="1">
        <v>15</v>
      </c>
      <c r="E189" s="11" t="e">
        <f t="shared" si="26"/>
        <v>#VALUE!</v>
      </c>
      <c r="F189" s="11" t="e">
        <f t="shared" si="27"/>
        <v>#VALUE!</v>
      </c>
      <c r="G189" s="2" t="s">
        <v>396</v>
      </c>
      <c r="H189" s="11">
        <f t="shared" si="28"/>
        <v>0</v>
      </c>
      <c r="K189" s="2" t="s">
        <v>81</v>
      </c>
      <c r="M189" s="11" t="e">
        <f t="shared" si="31"/>
        <v>#VALUE!</v>
      </c>
      <c r="N189" s="11">
        <v>5</v>
      </c>
      <c r="O189" s="11">
        <v>3</v>
      </c>
      <c r="Q189" s="8">
        <f t="shared" si="34"/>
        <v>1.5</v>
      </c>
      <c r="R189" s="8"/>
      <c r="S189" s="10" t="e">
        <f t="shared" si="30"/>
        <v>#VALUE!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 t="e">
        <f t="shared" si="26"/>
        <v>#VALUE!</v>
      </c>
      <c r="F190" s="11" t="e">
        <f t="shared" si="27"/>
        <v>#VALUE!</v>
      </c>
      <c r="G190" s="2" t="s">
        <v>396</v>
      </c>
      <c r="H190" s="11">
        <f t="shared" si="28"/>
        <v>0</v>
      </c>
      <c r="K190" s="2" t="s">
        <v>81</v>
      </c>
      <c r="M190" s="11" t="e">
        <f t="shared" si="31"/>
        <v>#VALUE!</v>
      </c>
      <c r="N190" s="11">
        <v>5</v>
      </c>
      <c r="O190" s="11">
        <v>4</v>
      </c>
      <c r="Q190" s="8">
        <f t="shared" si="34"/>
        <v>1.5</v>
      </c>
      <c r="R190" s="8"/>
      <c r="S190" s="10" t="e">
        <f t="shared" si="30"/>
        <v>#VALUE!</v>
      </c>
    </row>
    <row r="191" spans="1:19">
      <c r="A191" s="2">
        <v>113</v>
      </c>
      <c r="B191" s="2" t="s">
        <v>52</v>
      </c>
      <c r="C191" s="4" t="s">
        <v>370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376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369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483</v>
      </c>
      <c r="D193" s="1">
        <v>19</v>
      </c>
      <c r="E193" s="11" t="e">
        <f>DAMAGE_BASE(B193,S193)</f>
        <v>#VALUE!</v>
      </c>
      <c r="F193" s="11" t="e">
        <f>DAMAGE_RAND(B193,S193)</f>
        <v>#VALUE!</v>
      </c>
      <c r="G193" s="2" t="s">
        <v>484</v>
      </c>
      <c r="H193" s="11">
        <f t="shared" si="28"/>
        <v>0</v>
      </c>
      <c r="K193" s="2" t="s">
        <v>81</v>
      </c>
      <c r="M193" s="11" t="e">
        <f>Q193*S193*(100+H193*2)/10</f>
        <v>#VALUE!</v>
      </c>
      <c r="N193" s="11">
        <v>4</v>
      </c>
      <c r="O193" s="11">
        <v>4</v>
      </c>
      <c r="P193" s="11" t="s">
        <v>156</v>
      </c>
      <c r="Q193" s="8">
        <f t="shared" si="34"/>
        <v>1.5</v>
      </c>
      <c r="R193" s="8"/>
      <c r="S193" s="10" t="e">
        <f t="shared" si="30"/>
        <v>#VALUE!</v>
      </c>
    </row>
    <row r="194" spans="1:21">
      <c r="A194" s="2">
        <v>116</v>
      </c>
      <c r="B194" s="2" t="s">
        <v>52</v>
      </c>
      <c r="C194" s="6" t="s">
        <v>482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449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156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485</v>
      </c>
      <c r="D195" s="1">
        <v>19</v>
      </c>
      <c r="E195" s="11" t="e">
        <f t="shared" si="35"/>
        <v>#VALUE!</v>
      </c>
      <c r="F195" s="11" t="e">
        <f t="shared" si="36"/>
        <v>#VALUE!</v>
      </c>
      <c r="G195" s="2" t="s">
        <v>65</v>
      </c>
      <c r="H195" s="2" t="s">
        <v>6</v>
      </c>
      <c r="K195" s="2" t="s">
        <v>81</v>
      </c>
      <c r="M195" s="11" t="e">
        <f t="shared" si="37"/>
        <v>#VALUE!</v>
      </c>
      <c r="N195" s="11">
        <v>3</v>
      </c>
      <c r="O195" s="11">
        <v>4</v>
      </c>
      <c r="P195" s="11" t="s">
        <v>156</v>
      </c>
      <c r="Q195" s="8">
        <f t="shared" si="34"/>
        <v>1.5</v>
      </c>
      <c r="R195" s="8"/>
      <c r="S195" s="10" t="e">
        <f t="shared" si="30"/>
        <v>#VALUE!</v>
      </c>
    </row>
    <row r="196" spans="1:21">
      <c r="A196" s="2">
        <v>118</v>
      </c>
      <c r="B196" s="2" t="s">
        <v>53</v>
      </c>
      <c r="C196" s="6" t="s">
        <v>512</v>
      </c>
      <c r="D196" s="1">
        <v>20</v>
      </c>
      <c r="E196" s="11">
        <f t="shared" si="35"/>
        <v>0</v>
      </c>
      <c r="F196" s="11">
        <f t="shared" si="36"/>
        <v>46</v>
      </c>
      <c r="G196" s="2" t="s">
        <v>68</v>
      </c>
      <c r="H196" s="2" t="s">
        <v>6</v>
      </c>
      <c r="K196" s="2" t="s">
        <v>81</v>
      </c>
      <c r="M196" s="11">
        <f t="shared" si="37"/>
        <v>485.10000801086426</v>
      </c>
      <c r="N196" s="11">
        <v>1</v>
      </c>
      <c r="O196" s="11">
        <v>7</v>
      </c>
      <c r="P196" s="11" t="s">
        <v>156</v>
      </c>
      <c r="Q196" s="8">
        <f t="shared" si="34"/>
        <v>1.5</v>
      </c>
      <c r="R196" s="8"/>
      <c r="S196" s="10">
        <f t="shared" si="30"/>
        <v>23.100000381469727</v>
      </c>
    </row>
    <row r="197" spans="1:21">
      <c r="A197" s="2">
        <v>119</v>
      </c>
      <c r="B197" s="2" t="s">
        <v>55</v>
      </c>
      <c r="C197" s="6" t="s">
        <v>486</v>
      </c>
      <c r="D197" s="1">
        <v>9</v>
      </c>
      <c r="E197" s="11" t="e">
        <f t="shared" si="35"/>
        <v>#VALUE!</v>
      </c>
      <c r="F197" s="11" t="e">
        <f t="shared" si="36"/>
        <v>#VALUE!</v>
      </c>
      <c r="G197" s="2" t="s">
        <v>450</v>
      </c>
      <c r="H197" s="2" t="s">
        <v>399</v>
      </c>
      <c r="K197" s="2" t="s">
        <v>63</v>
      </c>
      <c r="M197" s="11" t="e">
        <f t="shared" si="37"/>
        <v>#VALUE!</v>
      </c>
      <c r="N197" s="11">
        <v>2</v>
      </c>
      <c r="O197" s="11">
        <v>4</v>
      </c>
      <c r="P197" s="11" t="s">
        <v>156</v>
      </c>
      <c r="Q197" s="2" t="s">
        <v>81</v>
      </c>
      <c r="S197" s="10" t="e">
        <f t="shared" si="30"/>
        <v>#VALUE!</v>
      </c>
    </row>
    <row r="198" spans="1:21">
      <c r="A198" s="2">
        <v>120</v>
      </c>
      <c r="B198" s="2" t="s">
        <v>55</v>
      </c>
      <c r="C198" s="6" t="s">
        <v>508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506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156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507</v>
      </c>
      <c r="D199" s="1">
        <v>10</v>
      </c>
      <c r="E199" s="11" t="e">
        <f t="shared" si="35"/>
        <v>#VALUE!</v>
      </c>
      <c r="F199" s="11" t="e">
        <f t="shared" si="36"/>
        <v>#VALUE!</v>
      </c>
      <c r="G199" s="2" t="s">
        <v>492</v>
      </c>
      <c r="H199" s="2" t="s">
        <v>79</v>
      </c>
      <c r="K199" s="2" t="s">
        <v>63</v>
      </c>
      <c r="M199" s="11" t="e">
        <f t="shared" si="37"/>
        <v>#VALUE!</v>
      </c>
      <c r="N199" s="11">
        <v>3</v>
      </c>
      <c r="O199" s="11">
        <v>4</v>
      </c>
      <c r="P199" s="11" t="s">
        <v>156</v>
      </c>
      <c r="Q199" s="8">
        <v>1.5</v>
      </c>
      <c r="R199" s="8"/>
      <c r="S199" s="10" t="e">
        <f t="shared" si="30"/>
        <v>#VALUE!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156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515</v>
      </c>
      <c r="D201" s="1">
        <v>7</v>
      </c>
      <c r="E201" s="11" t="e">
        <f t="shared" si="35"/>
        <v>#VALUE!</v>
      </c>
      <c r="F201" s="11" t="e">
        <f t="shared" si="36"/>
        <v>#VALUE!</v>
      </c>
      <c r="H201" s="11">
        <v>15</v>
      </c>
      <c r="K201" s="2" t="s">
        <v>63</v>
      </c>
      <c r="M201" s="11" t="e">
        <f t="shared" si="37"/>
        <v>#VALUE!</v>
      </c>
      <c r="N201" s="11" t="s">
        <v>81</v>
      </c>
      <c r="O201" s="1">
        <v>4</v>
      </c>
      <c r="P201" s="11" t="s">
        <v>156</v>
      </c>
      <c r="Q201" s="8">
        <v>1</v>
      </c>
      <c r="R201" s="8"/>
      <c r="S201" s="10" t="e">
        <f t="shared" si="30"/>
        <v>#VALUE!</v>
      </c>
    </row>
    <row r="202" spans="1:21">
      <c r="A202" s="2">
        <v>124</v>
      </c>
      <c r="B202" s="2" t="s">
        <v>71</v>
      </c>
      <c r="C202" s="6" t="s">
        <v>516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156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316</v>
      </c>
      <c r="D203" s="1">
        <v>7</v>
      </c>
      <c r="E203" s="11" t="e">
        <f t="shared" si="38"/>
        <v>#VALUE!</v>
      </c>
      <c r="F203" s="11" t="e">
        <f t="shared" ref="F203:F236" si="39">DAMAGE_RAND(B203,S203)</f>
        <v>#VALUE!</v>
      </c>
      <c r="G203" s="2" t="s">
        <v>317</v>
      </c>
      <c r="H203" s="11">
        <f>CRIT_RATE(B203,N203,O203)</f>
        <v>0</v>
      </c>
      <c r="K203" s="2" t="s">
        <v>81</v>
      </c>
      <c r="M203" s="11" t="e">
        <f t="shared" ref="M203:M214" si="40">Q203*S203*(100+H203*2)/10</f>
        <v>#VALUE!</v>
      </c>
      <c r="N203" s="11">
        <v>5</v>
      </c>
      <c r="O203" s="11">
        <v>4</v>
      </c>
      <c r="P203" s="11" t="s">
        <v>156</v>
      </c>
      <c r="Q203" s="8">
        <v>1</v>
      </c>
      <c r="R203" s="8"/>
      <c r="S203" s="10" t="e">
        <f t="shared" si="30"/>
        <v>#VALUE!</v>
      </c>
    </row>
    <row r="204" spans="1:21">
      <c r="A204" s="2">
        <v>126</v>
      </c>
      <c r="B204" s="2" t="s">
        <v>59</v>
      </c>
      <c r="C204" s="6" t="s">
        <v>487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488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156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489</v>
      </c>
      <c r="D205" s="1">
        <v>9</v>
      </c>
      <c r="E205" s="11" t="e">
        <f t="shared" si="38"/>
        <v>#VALUE!</v>
      </c>
      <c r="F205" s="11" t="e">
        <f t="shared" si="39"/>
        <v>#VALUE!</v>
      </c>
      <c r="G205" s="2" t="s">
        <v>490</v>
      </c>
      <c r="H205" s="11">
        <v>0</v>
      </c>
      <c r="I205" s="2" t="s">
        <v>491</v>
      </c>
      <c r="K205" s="2" t="s">
        <v>6</v>
      </c>
      <c r="L205" s="2" t="s">
        <v>517</v>
      </c>
      <c r="M205" s="11" t="e">
        <f t="shared" si="40"/>
        <v>#VALUE!</v>
      </c>
      <c r="N205" s="11">
        <v>2</v>
      </c>
      <c r="O205" s="11">
        <v>4</v>
      </c>
      <c r="P205" s="11" t="s">
        <v>156</v>
      </c>
      <c r="Q205" s="8">
        <f>60*I205/(I205*$W$95+$W$97)</f>
        <v>1.8064516129032258</v>
      </c>
      <c r="R205" s="8"/>
      <c r="S205" s="10" t="e">
        <f t="shared" si="30"/>
        <v>#VALUE!</v>
      </c>
    </row>
    <row r="206" spans="1:21">
      <c r="A206" s="2">
        <v>128</v>
      </c>
      <c r="B206" s="2" t="s">
        <v>118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 t="e">
        <f>CRIT_RATE(B206,N206,O206)</f>
        <v>#VALUE!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156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509</v>
      </c>
      <c r="D207" s="1">
        <v>10</v>
      </c>
      <c r="E207" s="11" t="e">
        <f t="shared" si="38"/>
        <v>#VALUE!</v>
      </c>
      <c r="F207" s="11" t="e">
        <f t="shared" si="39"/>
        <v>#VALUE!</v>
      </c>
      <c r="G207" s="2" t="s">
        <v>514</v>
      </c>
      <c r="H207" s="11">
        <v>0</v>
      </c>
      <c r="I207" s="2" t="s">
        <v>452</v>
      </c>
      <c r="K207" s="2" t="s">
        <v>111</v>
      </c>
      <c r="M207" s="11" t="e">
        <f t="shared" si="40"/>
        <v>#VALUE!</v>
      </c>
      <c r="N207" s="11">
        <v>2</v>
      </c>
      <c r="O207" s="11">
        <v>7</v>
      </c>
      <c r="P207" s="11" t="s">
        <v>156</v>
      </c>
      <c r="Q207" s="8">
        <f>60*I207/(I207*$W$95+$W$97)</f>
        <v>1.92</v>
      </c>
      <c r="R207" s="8"/>
      <c r="S207" s="10" t="e">
        <f t="shared" si="30"/>
        <v>#VALUE!</v>
      </c>
      <c r="U207" s="11">
        <v>4</v>
      </c>
    </row>
    <row r="208" spans="1:21">
      <c r="A208" s="2">
        <v>130</v>
      </c>
      <c r="B208" s="2" t="s">
        <v>118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 t="e">
        <f>CRIT_RATE(B208,N208,O208)</f>
        <v>#VALUE!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156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339</v>
      </c>
      <c r="C209" s="6" t="s">
        <v>493</v>
      </c>
      <c r="D209" s="1">
        <v>9</v>
      </c>
      <c r="E209" s="11" t="e">
        <f t="shared" si="38"/>
        <v>#VALUE!</v>
      </c>
      <c r="F209" s="11" t="e">
        <f t="shared" si="39"/>
        <v>#VALUE!</v>
      </c>
      <c r="G209" s="2" t="s">
        <v>494</v>
      </c>
      <c r="H209" s="11">
        <v>15</v>
      </c>
      <c r="K209" s="2" t="s">
        <v>6</v>
      </c>
      <c r="L209" s="2" t="s">
        <v>339</v>
      </c>
      <c r="M209" s="11" t="e">
        <f t="shared" si="40"/>
        <v>#VALUE!</v>
      </c>
      <c r="N209" s="11">
        <v>3</v>
      </c>
      <c r="O209" s="11">
        <v>4</v>
      </c>
      <c r="P209" s="11" t="s">
        <v>156</v>
      </c>
      <c r="Q209" s="8">
        <v>0.6</v>
      </c>
      <c r="R209" s="8"/>
      <c r="S209" s="10" t="e">
        <f t="shared" si="41"/>
        <v>#VALUE!</v>
      </c>
      <c r="U209" s="11">
        <v>4</v>
      </c>
    </row>
    <row r="210" spans="1:21">
      <c r="A210" s="2">
        <v>132</v>
      </c>
      <c r="B210" s="2" t="s">
        <v>341</v>
      </c>
      <c r="C210" s="6"/>
      <c r="E210" s="11" t="e">
        <f t="shared" si="38"/>
        <v>#VALUE!</v>
      </c>
      <c r="F210" s="11" t="e">
        <f t="shared" si="39"/>
        <v>#VALUE!</v>
      </c>
      <c r="G210" s="2" t="s">
        <v>494</v>
      </c>
      <c r="H210" s="11">
        <v>25</v>
      </c>
      <c r="K210" s="2" t="s">
        <v>63</v>
      </c>
      <c r="M210" s="11" t="e">
        <f t="shared" si="40"/>
        <v>#VALUE!</v>
      </c>
      <c r="N210" s="11">
        <v>3</v>
      </c>
      <c r="O210" s="11">
        <v>4</v>
      </c>
      <c r="P210" s="11" t="s">
        <v>156</v>
      </c>
      <c r="Q210" s="8">
        <v>3</v>
      </c>
      <c r="R210" s="8"/>
      <c r="S210" s="10" t="e">
        <f t="shared" si="41"/>
        <v>#VALUE!</v>
      </c>
      <c r="U210" s="11">
        <v>7</v>
      </c>
    </row>
    <row r="211" spans="1:21">
      <c r="A211" s="2">
        <v>133</v>
      </c>
      <c r="B211" s="2" t="s">
        <v>339</v>
      </c>
      <c r="C211" s="6" t="s">
        <v>495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496</v>
      </c>
      <c r="H211" s="11">
        <v>100</v>
      </c>
      <c r="K211" s="2" t="s">
        <v>6</v>
      </c>
      <c r="L211" s="2" t="s">
        <v>339</v>
      </c>
      <c r="M211" s="11">
        <f t="shared" si="40"/>
        <v>0</v>
      </c>
      <c r="N211" s="11">
        <v>3</v>
      </c>
      <c r="O211" s="11">
        <v>7</v>
      </c>
      <c r="P211" s="11" t="s">
        <v>156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341</v>
      </c>
      <c r="C212" s="6"/>
      <c r="E212" s="11">
        <f t="shared" si="38"/>
        <v>0</v>
      </c>
      <c r="F212" s="11">
        <f t="shared" si="39"/>
        <v>0</v>
      </c>
      <c r="G212" s="2" t="s">
        <v>496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156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138</v>
      </c>
      <c r="C213" s="6" t="s">
        <v>497</v>
      </c>
      <c r="D213" s="1">
        <v>8</v>
      </c>
      <c r="E213" s="11" t="e">
        <f t="shared" si="38"/>
        <v>#VALUE!</v>
      </c>
      <c r="F213" s="11" t="e">
        <f t="shared" si="39"/>
        <v>#VALUE!</v>
      </c>
      <c r="G213" s="2" t="s">
        <v>498</v>
      </c>
      <c r="H213" s="2" t="s">
        <v>412</v>
      </c>
      <c r="K213" s="2" t="s">
        <v>73</v>
      </c>
      <c r="L213" s="2" t="s">
        <v>140</v>
      </c>
      <c r="M213" s="11" t="e">
        <f t="shared" si="40"/>
        <v>#VALUE!</v>
      </c>
      <c r="N213" s="11">
        <v>1</v>
      </c>
      <c r="O213" s="11">
        <v>4</v>
      </c>
      <c r="P213" s="11" t="s">
        <v>156</v>
      </c>
      <c r="Q213" s="8">
        <v>1</v>
      </c>
      <c r="R213" s="8"/>
      <c r="S213" s="10" t="e">
        <f t="shared" si="41"/>
        <v>#VALUE!</v>
      </c>
      <c r="U213" s="11">
        <v>4</v>
      </c>
    </row>
    <row r="214" spans="1:21">
      <c r="A214" s="2">
        <v>136</v>
      </c>
      <c r="B214" s="2" t="s">
        <v>138</v>
      </c>
      <c r="C214" s="6" t="s">
        <v>499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500</v>
      </c>
      <c r="H214" s="2" t="s">
        <v>412</v>
      </c>
      <c r="K214" s="2" t="s">
        <v>73</v>
      </c>
      <c r="L214" s="2" t="s">
        <v>140</v>
      </c>
      <c r="M214" s="11">
        <f t="shared" si="40"/>
        <v>0</v>
      </c>
      <c r="N214" s="11">
        <v>1</v>
      </c>
      <c r="O214" s="11">
        <v>7</v>
      </c>
      <c r="P214" s="11" t="s">
        <v>156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501</v>
      </c>
      <c r="D215" s="1">
        <v>8</v>
      </c>
      <c r="E215" s="11" t="e">
        <f t="shared" si="38"/>
        <v>#VALUE!</v>
      </c>
      <c r="F215" s="11" t="e">
        <f t="shared" si="39"/>
        <v>#VALUE!</v>
      </c>
      <c r="G215" s="2" t="s">
        <v>502</v>
      </c>
      <c r="H215" s="11">
        <v>0</v>
      </c>
      <c r="I215" s="2" t="s">
        <v>2</v>
      </c>
      <c r="K215" s="2" t="s">
        <v>74</v>
      </c>
      <c r="M215" s="11" t="e">
        <f t="shared" ref="M215:M223" si="42">Q215*S215*(100+H215*2)/10</f>
        <v>#VALUE!</v>
      </c>
      <c r="N215" s="11">
        <v>4</v>
      </c>
      <c r="O215" s="11">
        <v>4</v>
      </c>
      <c r="P215" s="11" t="s">
        <v>156</v>
      </c>
      <c r="Q215" s="8">
        <f>30*I215/(I215*$X$95+$X$97)</f>
        <v>0.375</v>
      </c>
      <c r="R215" s="8"/>
      <c r="S215" s="10" t="e">
        <f t="shared" si="41"/>
        <v>#VALUE!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156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503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449</v>
      </c>
      <c r="H217" s="11">
        <v>25</v>
      </c>
      <c r="I217" s="2" t="s">
        <v>6</v>
      </c>
      <c r="K217" s="2" t="s">
        <v>74</v>
      </c>
      <c r="L217" s="2" t="s">
        <v>513</v>
      </c>
      <c r="M217" s="11">
        <f t="shared" si="42"/>
        <v>0</v>
      </c>
      <c r="N217" s="11">
        <v>4</v>
      </c>
      <c r="O217" s="11">
        <v>7</v>
      </c>
      <c r="P217" s="11" t="s">
        <v>156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156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505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373</v>
      </c>
      <c r="H219" s="11">
        <f t="shared" ref="H219:H225" si="43">CRIT_RATE(B219,N219,O219)</f>
        <v>0</v>
      </c>
      <c r="I219" s="2" t="s">
        <v>411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156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118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 t="e">
        <f t="shared" si="43"/>
        <v>#VALUE!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156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334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373</v>
      </c>
      <c r="H221" s="11">
        <f t="shared" si="43"/>
        <v>0</v>
      </c>
      <c r="I221" s="2" t="s">
        <v>63</v>
      </c>
      <c r="K221" s="2" t="s">
        <v>6</v>
      </c>
      <c r="L221" s="2" t="s">
        <v>504</v>
      </c>
      <c r="M221" s="11">
        <f t="shared" si="42"/>
        <v>0</v>
      </c>
      <c r="N221" s="11">
        <v>5</v>
      </c>
      <c r="O221" s="11">
        <v>7</v>
      </c>
      <c r="P221" s="11" t="s">
        <v>156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118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 t="e">
        <f t="shared" si="43"/>
        <v>#VALUE!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156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3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156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-1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156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4</v>
      </c>
      <c r="G225" s="2" t="s">
        <v>86</v>
      </c>
      <c r="H225" s="11">
        <f t="shared" si="43"/>
        <v>5</v>
      </c>
      <c r="K225" s="2">
        <v>1</v>
      </c>
      <c r="M225" s="11">
        <f t="shared" si="44"/>
        <v>33</v>
      </c>
      <c r="N225" s="11">
        <v>0</v>
      </c>
      <c r="O225" s="11">
        <v>6</v>
      </c>
      <c r="P225" s="11" t="s">
        <v>156</v>
      </c>
      <c r="Q225" s="8">
        <f>Q175</f>
        <v>1.5</v>
      </c>
      <c r="R225" s="8"/>
      <c r="S225" s="10">
        <f t="shared" si="41"/>
        <v>2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 t="e">
        <f t="shared" si="38"/>
        <v>#VALUE!</v>
      </c>
      <c r="F226" s="11" t="e">
        <f t="shared" si="39"/>
        <v>#VALUE!</v>
      </c>
      <c r="G226" s="2" t="s">
        <v>62</v>
      </c>
      <c r="H226" s="11" t="e">
        <f t="shared" ref="H226:H235" si="45">CRIT_RATE(B226,N226,O226)</f>
        <v>#VALUE!</v>
      </c>
      <c r="I226" s="2" t="s">
        <v>419</v>
      </c>
      <c r="K226" s="2" t="s">
        <v>6</v>
      </c>
      <c r="M226" s="11" t="e">
        <f t="shared" si="44"/>
        <v>#VALUE!</v>
      </c>
      <c r="N226" s="11">
        <v>2</v>
      </c>
      <c r="O226" s="11">
        <v>6</v>
      </c>
      <c r="P226" s="11" t="s">
        <v>155</v>
      </c>
      <c r="Q226" s="8">
        <f>60*I226/(I226*$W$95+$W$97)</f>
        <v>1.8823529411764706</v>
      </c>
      <c r="R226" s="8"/>
      <c r="S226" s="10" t="e">
        <f t="shared" si="41"/>
        <v>#VALUE!</v>
      </c>
      <c r="T226"/>
      <c r="U226" s="11">
        <v>7</v>
      </c>
    </row>
    <row r="227" spans="1:21">
      <c r="A227" s="2">
        <v>149</v>
      </c>
      <c r="B227" s="2" t="s">
        <v>118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 t="e">
        <f t="shared" si="45"/>
        <v>#VALUE!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155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 t="e">
        <f t="shared" si="38"/>
        <v>#VALUE!</v>
      </c>
      <c r="F228" s="11" t="e">
        <f t="shared" si="39"/>
        <v>#VALUE!</v>
      </c>
      <c r="G228" s="2" t="s">
        <v>62</v>
      </c>
      <c r="H228" s="11" t="e">
        <f t="shared" si="45"/>
        <v>#VALUE!</v>
      </c>
      <c r="I228" s="2" t="s">
        <v>400</v>
      </c>
      <c r="K228" s="2" t="s">
        <v>6</v>
      </c>
      <c r="M228" s="11" t="e">
        <f t="shared" si="44"/>
        <v>#VALUE!</v>
      </c>
      <c r="N228" s="11">
        <v>2</v>
      </c>
      <c r="O228" s="11">
        <v>6</v>
      </c>
      <c r="P228" s="11" t="s">
        <v>155</v>
      </c>
      <c r="Q228" s="8">
        <f>60*I228/(I228*$W$95+$W$97)</f>
        <v>1.7391304347826086</v>
      </c>
      <c r="R228" s="8"/>
      <c r="S228" s="10" t="e">
        <f t="shared" si="41"/>
        <v>#VALUE!</v>
      </c>
      <c r="T228"/>
      <c r="U228" s="11">
        <v>7</v>
      </c>
    </row>
    <row r="229" spans="1:21">
      <c r="A229" s="2">
        <v>151</v>
      </c>
      <c r="B229" s="2" t="s">
        <v>118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 t="e">
        <f t="shared" si="45"/>
        <v>#VALUE!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155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381</v>
      </c>
      <c r="H230" s="11">
        <f t="shared" si="45"/>
        <v>0</v>
      </c>
      <c r="I230" s="2" t="s">
        <v>412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155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155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382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155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338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374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155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339</v>
      </c>
      <c r="C234" s="5" t="s">
        <v>347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386</v>
      </c>
      <c r="H234" s="11">
        <f t="shared" si="45"/>
        <v>0</v>
      </c>
      <c r="K234" s="2" t="s">
        <v>6</v>
      </c>
      <c r="L234" s="2" t="s">
        <v>339</v>
      </c>
      <c r="M234" s="11">
        <f t="shared" si="46"/>
        <v>0</v>
      </c>
      <c r="N234" s="11">
        <v>2</v>
      </c>
      <c r="O234" s="11">
        <v>2</v>
      </c>
      <c r="P234" s="11" t="s">
        <v>155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341</v>
      </c>
      <c r="C235" s="5"/>
      <c r="E235" s="11">
        <f t="shared" si="38"/>
        <v>0</v>
      </c>
      <c r="F235" s="11">
        <f t="shared" si="39"/>
        <v>0</v>
      </c>
      <c r="G235" s="2" t="s">
        <v>386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155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339</v>
      </c>
      <c r="C236" s="5" t="s">
        <v>510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511</v>
      </c>
      <c r="H236" s="11">
        <v>10</v>
      </c>
      <c r="K236" s="2" t="s">
        <v>6</v>
      </c>
      <c r="L236" s="2" t="s">
        <v>339</v>
      </c>
      <c r="M236" s="11">
        <f t="shared" si="46"/>
        <v>0</v>
      </c>
      <c r="N236" s="11">
        <v>2</v>
      </c>
      <c r="O236" s="11">
        <v>5</v>
      </c>
      <c r="P236" s="11" t="s">
        <v>155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341</v>
      </c>
      <c r="C237" s="5"/>
      <c r="E237" s="11">
        <f>DAMAGE_BASE(B237,S237)</f>
        <v>0</v>
      </c>
      <c r="F237" s="11">
        <f>DAMAGE_RAND(B237,S237)</f>
        <v>0</v>
      </c>
      <c r="G237" s="2" t="s">
        <v>511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155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518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156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519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520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513</v>
      </c>
      <c r="M239" s="11">
        <v>1000000</v>
      </c>
      <c r="N239" s="11">
        <v>0</v>
      </c>
      <c r="O239" s="11">
        <v>1</v>
      </c>
      <c r="P239" s="11" t="s">
        <v>156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-1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156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2" t="s">
        <v>521</v>
      </c>
      <c r="B1" s="52" t="s">
        <v>522</v>
      </c>
      <c r="C1" s="52" t="s">
        <v>523</v>
      </c>
      <c r="D1" s="53" t="s">
        <v>524</v>
      </c>
      <c r="E1" s="53" t="s">
        <v>525</v>
      </c>
      <c r="F1" s="53" t="s">
        <v>526</v>
      </c>
    </row>
    <row r="2" spans="1:6">
      <c r="A2" s="54">
        <v>39742</v>
      </c>
      <c r="B2" s="55">
        <v>2</v>
      </c>
      <c r="C2" s="55">
        <v>2</v>
      </c>
      <c r="D2" s="55">
        <v>2</v>
      </c>
      <c r="E2" s="55" t="s">
        <v>527</v>
      </c>
      <c r="F2" s="55" t="s">
        <v>527</v>
      </c>
    </row>
    <row r="3" spans="1:6">
      <c r="A3" s="54">
        <v>39744</v>
      </c>
      <c r="B3" s="55">
        <v>5</v>
      </c>
      <c r="C3" s="55">
        <v>1</v>
      </c>
      <c r="D3" s="55">
        <v>5</v>
      </c>
      <c r="E3" s="55" t="s">
        <v>527</v>
      </c>
      <c r="F3" s="55" t="s">
        <v>527</v>
      </c>
    </row>
    <row r="4" spans="1:6">
      <c r="A4" s="54">
        <v>39748</v>
      </c>
      <c r="B4" s="55">
        <v>12</v>
      </c>
      <c r="C4" s="55">
        <v>5</v>
      </c>
      <c r="D4" s="55">
        <v>5</v>
      </c>
      <c r="E4" s="55" t="s">
        <v>527</v>
      </c>
      <c r="F4" s="55" t="s">
        <v>527</v>
      </c>
    </row>
    <row r="5" spans="1:6">
      <c r="A5" s="54">
        <v>39749</v>
      </c>
      <c r="B5" s="55">
        <v>15</v>
      </c>
      <c r="C5" s="55">
        <v>7</v>
      </c>
      <c r="D5" s="55">
        <v>12</v>
      </c>
      <c r="E5" s="55" t="s">
        <v>527</v>
      </c>
      <c r="F5" s="55" t="s">
        <v>527</v>
      </c>
    </row>
    <row r="6" spans="1:6">
      <c r="A6" s="54">
        <v>39750</v>
      </c>
      <c r="B6" s="55">
        <v>17</v>
      </c>
      <c r="C6" s="55">
        <v>5</v>
      </c>
      <c r="D6" s="55">
        <v>17</v>
      </c>
      <c r="E6" s="55" t="s">
        <v>527</v>
      </c>
      <c r="F6" s="55" t="s">
        <v>527</v>
      </c>
    </row>
    <row r="7" spans="1:6">
      <c r="A7" s="54">
        <v>39751</v>
      </c>
      <c r="B7" s="55">
        <v>6.2119999999999997</v>
      </c>
      <c r="C7" s="55">
        <v>4.2770000000000001</v>
      </c>
      <c r="D7" s="55">
        <v>4.01</v>
      </c>
      <c r="E7" s="55" t="s">
        <v>527</v>
      </c>
      <c r="F7" s="55" t="s">
        <v>527</v>
      </c>
    </row>
    <row r="8" spans="1:6">
      <c r="A8" s="54">
        <v>39752</v>
      </c>
      <c r="B8" s="55">
        <v>6.6420000000000003</v>
      </c>
      <c r="C8" s="55">
        <v>4.4740000000000002</v>
      </c>
      <c r="D8" s="55">
        <v>4.1150000000000002</v>
      </c>
      <c r="E8" s="55" t="s">
        <v>527</v>
      </c>
      <c r="F8" s="55" t="s">
        <v>527</v>
      </c>
    </row>
    <row r="9" spans="1:6">
      <c r="A9" s="56"/>
    </row>
    <row r="10" spans="1:6">
      <c r="A10" s="57" t="s">
        <v>528</v>
      </c>
    </row>
    <row r="11" spans="1:6">
      <c r="A11" s="57" t="s">
        <v>529</v>
      </c>
    </row>
    <row r="12" spans="1:6" ht="18">
      <c r="A12" s="58" t="s">
        <v>530</v>
      </c>
    </row>
    <row r="13" spans="1:6">
      <c r="A13" s="57" t="s">
        <v>531</v>
      </c>
    </row>
    <row r="14" spans="1:6">
      <c r="A14" s="59" t="s">
        <v>532</v>
      </c>
    </row>
    <row r="15" spans="1:6">
      <c r="A15" s="57" t="s">
        <v>533</v>
      </c>
    </row>
    <row r="16" spans="1:6">
      <c r="A16" s="60">
        <v>31048</v>
      </c>
    </row>
    <row r="17" spans="1:6">
      <c r="A17" s="61"/>
    </row>
    <row r="18" spans="1:6" ht="30">
      <c r="A18" s="52" t="s">
        <v>521</v>
      </c>
      <c r="B18" s="52" t="s">
        <v>522</v>
      </c>
      <c r="C18" s="52" t="s">
        <v>523</v>
      </c>
      <c r="D18" s="53" t="s">
        <v>524</v>
      </c>
      <c r="E18" s="53" t="s">
        <v>525</v>
      </c>
      <c r="F18" s="53" t="s">
        <v>526</v>
      </c>
    </row>
    <row r="19" spans="1:6">
      <c r="A19" s="54">
        <v>39753</v>
      </c>
      <c r="B19" s="55">
        <v>59.347000000000001</v>
      </c>
      <c r="C19" s="55">
        <v>44.673999999999999</v>
      </c>
      <c r="D19" s="55">
        <v>33.127000000000002</v>
      </c>
      <c r="E19" s="55" t="s">
        <v>527</v>
      </c>
      <c r="F19" s="55" t="s">
        <v>527</v>
      </c>
    </row>
    <row r="20" spans="1:6">
      <c r="A20" s="54">
        <v>39754</v>
      </c>
      <c r="B20" s="55">
        <v>155.83000000000001</v>
      </c>
      <c r="C20" s="55">
        <v>99.337999999999994</v>
      </c>
      <c r="D20" s="55">
        <v>64.263000000000005</v>
      </c>
      <c r="E20" s="55" t="s">
        <v>527</v>
      </c>
      <c r="F20" s="55" t="s">
        <v>527</v>
      </c>
    </row>
    <row r="21" spans="1:6">
      <c r="A21" s="54">
        <v>39755</v>
      </c>
      <c r="B21" s="55">
        <v>120.678</v>
      </c>
      <c r="C21" s="55">
        <v>81.037999999999997</v>
      </c>
      <c r="D21" s="55">
        <v>61.13</v>
      </c>
      <c r="E21" s="55" t="s">
        <v>527</v>
      </c>
      <c r="F21" s="55" t="s">
        <v>527</v>
      </c>
    </row>
    <row r="22" spans="1:6">
      <c r="A22" s="54">
        <v>39756</v>
      </c>
      <c r="B22" s="55">
        <v>160.499</v>
      </c>
      <c r="C22" s="55">
        <v>111.673</v>
      </c>
      <c r="D22" s="55">
        <v>111.146</v>
      </c>
      <c r="E22" s="55" t="s">
        <v>527</v>
      </c>
      <c r="F22" s="55" t="s">
        <v>527</v>
      </c>
    </row>
    <row r="23" spans="1:6">
      <c r="A23" s="54">
        <v>39757</v>
      </c>
      <c r="B23" s="55">
        <v>189.654</v>
      </c>
      <c r="C23" s="55">
        <v>135.22499999999999</v>
      </c>
      <c r="D23" s="55">
        <v>138.529</v>
      </c>
      <c r="E23" s="55" t="s">
        <v>527</v>
      </c>
      <c r="F23" s="55" t="s">
        <v>527</v>
      </c>
    </row>
    <row r="24" spans="1:6">
      <c r="A24" s="54">
        <v>39758</v>
      </c>
      <c r="B24" s="55">
        <v>189.76900000000001</v>
      </c>
      <c r="C24" s="55">
        <v>133.166</v>
      </c>
      <c r="D24" s="55">
        <v>136.953</v>
      </c>
      <c r="E24" s="55" t="s">
        <v>527</v>
      </c>
      <c r="F24" s="55" t="s">
        <v>527</v>
      </c>
    </row>
    <row r="25" spans="1:6">
      <c r="A25" s="54">
        <v>39759</v>
      </c>
      <c r="B25" s="55">
        <v>247.36799999999999</v>
      </c>
      <c r="C25" s="55">
        <v>179.03700000000001</v>
      </c>
      <c r="D25" s="55">
        <v>180.95099999999999</v>
      </c>
      <c r="E25" s="55" t="s">
        <v>527</v>
      </c>
      <c r="F25" s="55" t="s">
        <v>527</v>
      </c>
    </row>
    <row r="26" spans="1:6">
      <c r="A26" s="54">
        <v>39760</v>
      </c>
      <c r="B26" s="55">
        <v>285.61</v>
      </c>
      <c r="C26" s="55">
        <v>188.60300000000001</v>
      </c>
      <c r="D26" s="55">
        <v>208.054</v>
      </c>
      <c r="E26" s="55" t="s">
        <v>527</v>
      </c>
      <c r="F26" s="55" t="s">
        <v>527</v>
      </c>
    </row>
    <row r="27" spans="1:6">
      <c r="A27" s="54">
        <v>39761</v>
      </c>
      <c r="B27" s="55">
        <v>216.364</v>
      </c>
      <c r="C27" s="55">
        <v>136.791</v>
      </c>
      <c r="D27" s="55">
        <v>150.99799999999999</v>
      </c>
      <c r="E27" s="55" t="s">
        <v>527</v>
      </c>
      <c r="F27" s="55" t="s">
        <v>527</v>
      </c>
    </row>
    <row r="28" spans="1:6">
      <c r="A28" s="54">
        <v>39762</v>
      </c>
      <c r="B28" s="55">
        <v>193.77600000000001</v>
      </c>
      <c r="C28" s="55">
        <v>135.96100000000001</v>
      </c>
      <c r="D28" s="55">
        <v>138.78700000000001</v>
      </c>
      <c r="E28" s="55" t="s">
        <v>527</v>
      </c>
      <c r="F28" s="55" t="s">
        <v>527</v>
      </c>
    </row>
    <row r="29" spans="1:6">
      <c r="A29" s="54">
        <v>39763</v>
      </c>
      <c r="B29" s="55">
        <v>170.81800000000001</v>
      </c>
      <c r="C29" s="55">
        <v>115.94799999999999</v>
      </c>
      <c r="D29" s="55">
        <v>121.79300000000001</v>
      </c>
      <c r="E29" s="55" t="s">
        <v>527</v>
      </c>
      <c r="F29" s="55" t="s">
        <v>527</v>
      </c>
    </row>
    <row r="30" spans="1:6">
      <c r="A30" s="54">
        <v>39764</v>
      </c>
      <c r="B30" s="55">
        <v>159.744</v>
      </c>
      <c r="C30" s="55">
        <v>111.669</v>
      </c>
      <c r="D30" s="55">
        <v>112.498</v>
      </c>
      <c r="E30" s="55" t="s">
        <v>527</v>
      </c>
      <c r="F30" s="55" t="s">
        <v>527</v>
      </c>
    </row>
    <row r="31" spans="1:6">
      <c r="A31" s="54">
        <v>39765</v>
      </c>
      <c r="B31" s="55">
        <v>147.08699999999999</v>
      </c>
      <c r="C31" s="55">
        <v>101.93300000000001</v>
      </c>
      <c r="D31" s="55">
        <v>102.917</v>
      </c>
      <c r="E31" s="55" t="s">
        <v>527</v>
      </c>
      <c r="F31" s="55" t="s">
        <v>527</v>
      </c>
    </row>
    <row r="32" spans="1:6">
      <c r="A32" s="54">
        <v>39766</v>
      </c>
      <c r="B32" s="55">
        <v>182.66200000000001</v>
      </c>
      <c r="C32" s="55">
        <v>131.74600000000001</v>
      </c>
      <c r="D32" s="55">
        <v>128.97499999999999</v>
      </c>
      <c r="E32" s="55" t="s">
        <v>527</v>
      </c>
      <c r="F32" s="55" t="s">
        <v>527</v>
      </c>
    </row>
    <row r="33" spans="1:6">
      <c r="A33" s="54">
        <v>39767</v>
      </c>
      <c r="B33" s="55">
        <v>207.99100000000001</v>
      </c>
      <c r="C33" s="55">
        <v>140.864</v>
      </c>
      <c r="D33" s="55">
        <v>149.19499999999999</v>
      </c>
      <c r="E33" s="55" t="s">
        <v>527</v>
      </c>
      <c r="F33" s="55" t="s">
        <v>527</v>
      </c>
    </row>
    <row r="34" spans="1:6">
      <c r="A34" s="54">
        <v>39768</v>
      </c>
      <c r="B34" s="55">
        <v>162.12799999999999</v>
      </c>
      <c r="C34" s="55">
        <v>103.992</v>
      </c>
      <c r="D34" s="55">
        <v>113.97</v>
      </c>
      <c r="E34" s="55" t="s">
        <v>527</v>
      </c>
      <c r="F34" s="55" t="s">
        <v>527</v>
      </c>
    </row>
    <row r="35" spans="1:6">
      <c r="A35" s="54">
        <v>39769</v>
      </c>
      <c r="B35" s="55">
        <v>119.387</v>
      </c>
      <c r="C35" s="55">
        <v>83.046999999999997</v>
      </c>
      <c r="D35" s="55">
        <v>84.058000000000007</v>
      </c>
      <c r="E35" s="55" t="s">
        <v>527</v>
      </c>
      <c r="F35" s="55" t="s">
        <v>527</v>
      </c>
    </row>
    <row r="36" spans="1:6">
      <c r="A36" s="54">
        <v>39770</v>
      </c>
      <c r="B36" s="55">
        <v>114.352</v>
      </c>
      <c r="C36" s="55">
        <v>79.988</v>
      </c>
      <c r="D36" s="55">
        <v>85.328000000000003</v>
      </c>
      <c r="E36" s="55" t="s">
        <v>527</v>
      </c>
      <c r="F36" s="55" t="s">
        <v>527</v>
      </c>
    </row>
    <row r="37" spans="1:6">
      <c r="A37" s="54">
        <v>39771</v>
      </c>
      <c r="B37" s="55">
        <v>108.41500000000001</v>
      </c>
      <c r="C37" s="55">
        <v>75.328999999999994</v>
      </c>
      <c r="D37" s="55">
        <v>79.543999999999997</v>
      </c>
      <c r="E37" s="55" t="s">
        <v>527</v>
      </c>
      <c r="F37" s="55" t="s">
        <v>527</v>
      </c>
    </row>
    <row r="38" spans="1:6">
      <c r="A38" s="54">
        <v>39772</v>
      </c>
      <c r="B38" s="55">
        <v>121.59699999999999</v>
      </c>
      <c r="C38" s="55">
        <v>88.884</v>
      </c>
      <c r="D38" s="55">
        <v>81.402000000000001</v>
      </c>
      <c r="E38" s="55" t="s">
        <v>527</v>
      </c>
      <c r="F38" s="55" t="s">
        <v>527</v>
      </c>
    </row>
    <row r="39" spans="1:6">
      <c r="A39" s="54">
        <v>39773</v>
      </c>
      <c r="B39" s="55">
        <v>240.55699999999999</v>
      </c>
      <c r="C39" s="55">
        <v>177.12799999999999</v>
      </c>
      <c r="D39" s="55">
        <v>117.649</v>
      </c>
      <c r="E39" s="55" t="s">
        <v>527</v>
      </c>
      <c r="F39" s="55" t="s">
        <v>527</v>
      </c>
    </row>
    <row r="40" spans="1:6">
      <c r="A40" s="54">
        <v>39774</v>
      </c>
      <c r="B40" s="55">
        <v>238.93700000000001</v>
      </c>
      <c r="C40" s="55">
        <v>164.05199999999999</v>
      </c>
      <c r="D40" s="55">
        <v>134.82300000000001</v>
      </c>
      <c r="E40" s="55" t="s">
        <v>527</v>
      </c>
      <c r="F40" s="55" t="s">
        <v>527</v>
      </c>
    </row>
    <row r="41" spans="1:6">
      <c r="A41" s="54">
        <v>39775</v>
      </c>
      <c r="B41" s="55">
        <v>181.43600000000001</v>
      </c>
      <c r="C41" s="55">
        <v>120.994</v>
      </c>
      <c r="D41" s="55">
        <v>100.43300000000001</v>
      </c>
      <c r="E41" s="55" t="s">
        <v>527</v>
      </c>
      <c r="F41" s="55" t="s">
        <v>527</v>
      </c>
    </row>
    <row r="42" spans="1:6">
      <c r="A42" s="54">
        <v>39776</v>
      </c>
      <c r="B42" s="55">
        <v>127.532</v>
      </c>
      <c r="C42" s="55">
        <v>90.180999999999997</v>
      </c>
      <c r="D42" s="55">
        <v>69.481999999999999</v>
      </c>
      <c r="E42" s="55" t="s">
        <v>527</v>
      </c>
      <c r="F42" s="55" t="s">
        <v>527</v>
      </c>
    </row>
    <row r="43" spans="1:6">
      <c r="A43" s="54">
        <v>39777</v>
      </c>
      <c r="B43" s="55">
        <v>116.65300000000001</v>
      </c>
      <c r="C43" s="55">
        <v>83.808999999999997</v>
      </c>
      <c r="D43" s="55">
        <v>69.480999999999995</v>
      </c>
      <c r="E43" s="55" t="s">
        <v>527</v>
      </c>
      <c r="F43" s="55" t="s">
        <v>527</v>
      </c>
    </row>
    <row r="44" spans="1:6">
      <c r="A44" s="54">
        <v>39778</v>
      </c>
      <c r="B44" s="55">
        <v>119.489</v>
      </c>
      <c r="C44" s="55">
        <v>83.254000000000005</v>
      </c>
      <c r="D44" s="55">
        <v>77.569999999999993</v>
      </c>
      <c r="E44" s="55" t="s">
        <v>527</v>
      </c>
      <c r="F44" s="55" t="s">
        <v>527</v>
      </c>
    </row>
    <row r="45" spans="1:6">
      <c r="A45" s="54">
        <v>39779</v>
      </c>
      <c r="B45" s="55">
        <v>120.114</v>
      </c>
      <c r="C45" s="55">
        <v>84.150999999999996</v>
      </c>
      <c r="D45" s="55">
        <v>82.025999999999996</v>
      </c>
      <c r="E45" s="55" t="s">
        <v>527</v>
      </c>
      <c r="F45" s="55" t="s">
        <v>527</v>
      </c>
    </row>
    <row r="46" spans="1:6">
      <c r="A46" s="54">
        <v>39780</v>
      </c>
      <c r="B46" s="55">
        <v>152.10300000000001</v>
      </c>
      <c r="C46" s="55">
        <v>106.81100000000001</v>
      </c>
      <c r="D46" s="55">
        <v>109.898</v>
      </c>
      <c r="E46" s="55" t="s">
        <v>527</v>
      </c>
      <c r="F46" s="55" t="s">
        <v>527</v>
      </c>
    </row>
    <row r="47" spans="1:6">
      <c r="A47" s="54">
        <v>39781</v>
      </c>
      <c r="B47" s="55">
        <v>164.31</v>
      </c>
      <c r="C47" s="55">
        <v>109.565</v>
      </c>
      <c r="D47" s="55">
        <v>121.48699999999999</v>
      </c>
      <c r="E47" s="55" t="s">
        <v>527</v>
      </c>
      <c r="F47" s="55" t="s">
        <v>527</v>
      </c>
    </row>
    <row r="48" spans="1:6">
      <c r="A48" s="54">
        <v>39782</v>
      </c>
      <c r="B48" s="55">
        <v>125.86</v>
      </c>
      <c r="C48" s="55">
        <v>81.727000000000004</v>
      </c>
      <c r="D48" s="55">
        <v>92.126000000000005</v>
      </c>
      <c r="E48" s="55" t="s">
        <v>527</v>
      </c>
      <c r="F48" s="55" t="s">
        <v>527</v>
      </c>
    </row>
    <row r="49" spans="1:6">
      <c r="A49" s="56"/>
    </row>
    <row r="50" spans="1:6">
      <c r="A50" s="57" t="s">
        <v>534</v>
      </c>
    </row>
    <row r="51" spans="1:6">
      <c r="A51" s="57" t="s">
        <v>529</v>
      </c>
    </row>
    <row r="52" spans="1:6" ht="18">
      <c r="A52" s="58" t="s">
        <v>535</v>
      </c>
    </row>
    <row r="53" spans="1:6">
      <c r="A53" s="57" t="s">
        <v>531</v>
      </c>
    </row>
    <row r="54" spans="1:6">
      <c r="A54" s="59">
        <v>930.41399999999999</v>
      </c>
    </row>
    <row r="55" spans="1:6">
      <c r="A55" s="57" t="s">
        <v>533</v>
      </c>
    </row>
    <row r="56" spans="1:6">
      <c r="A56" s="60">
        <v>28126</v>
      </c>
    </row>
    <row r="57" spans="1:6">
      <c r="A57" s="61"/>
    </row>
    <row r="58" spans="1:6" ht="30">
      <c r="A58" s="52" t="s">
        <v>521</v>
      </c>
      <c r="B58" s="52" t="s">
        <v>522</v>
      </c>
      <c r="C58" s="52" t="s">
        <v>523</v>
      </c>
      <c r="D58" s="53" t="s">
        <v>524</v>
      </c>
      <c r="E58" s="53" t="s">
        <v>525</v>
      </c>
      <c r="F58" s="53" t="s">
        <v>526</v>
      </c>
    </row>
    <row r="59" spans="1:6">
      <c r="A59" s="54">
        <v>39783</v>
      </c>
      <c r="B59" s="55">
        <v>92.531000000000006</v>
      </c>
      <c r="C59" s="55">
        <v>63.761000000000003</v>
      </c>
      <c r="D59" s="55">
        <v>65.584999999999994</v>
      </c>
      <c r="E59" s="55" t="s">
        <v>527</v>
      </c>
      <c r="F59" s="55" t="s">
        <v>527</v>
      </c>
    </row>
    <row r="60" spans="1:6">
      <c r="A60" s="54">
        <v>39784</v>
      </c>
      <c r="B60" s="55">
        <v>79.891000000000005</v>
      </c>
      <c r="C60" s="55">
        <v>56.664000000000001</v>
      </c>
      <c r="D60" s="55">
        <v>57.381999999999998</v>
      </c>
      <c r="E60" s="55" t="s">
        <v>527</v>
      </c>
      <c r="F60" s="55" t="s">
        <v>527</v>
      </c>
    </row>
    <row r="61" spans="1:6">
      <c r="A61" s="54">
        <v>39785</v>
      </c>
      <c r="B61" s="55">
        <v>76.096999999999994</v>
      </c>
      <c r="C61" s="55">
        <v>53.493000000000002</v>
      </c>
      <c r="D61" s="55">
        <v>54.112000000000002</v>
      </c>
      <c r="E61" s="55" t="s">
        <v>527</v>
      </c>
      <c r="F61" s="55" t="s">
        <v>527</v>
      </c>
    </row>
    <row r="62" spans="1:6">
      <c r="A62" s="54">
        <v>39786</v>
      </c>
      <c r="B62" s="55">
        <v>70.396000000000001</v>
      </c>
      <c r="C62" s="55">
        <v>49.515999999999998</v>
      </c>
      <c r="D62" s="55">
        <v>44.423000000000002</v>
      </c>
      <c r="E62" s="55" t="s">
        <v>527</v>
      </c>
      <c r="F62" s="55" t="s">
        <v>527</v>
      </c>
    </row>
    <row r="63" spans="1:6">
      <c r="A63" s="54">
        <v>39787</v>
      </c>
      <c r="B63" s="55">
        <v>87.311000000000007</v>
      </c>
      <c r="C63" s="55">
        <v>63.533000000000001</v>
      </c>
      <c r="D63" s="55">
        <v>61.069000000000003</v>
      </c>
      <c r="E63" s="55" t="s">
        <v>527</v>
      </c>
      <c r="F63" s="55" t="s">
        <v>527</v>
      </c>
    </row>
    <row r="64" spans="1:6">
      <c r="A64" s="54">
        <v>39788</v>
      </c>
      <c r="B64" s="55">
        <v>102.008</v>
      </c>
      <c r="C64" s="55">
        <v>70.200999999999993</v>
      </c>
      <c r="D64" s="55">
        <v>74.608000000000004</v>
      </c>
      <c r="E64" s="55" t="s">
        <v>527</v>
      </c>
      <c r="F64" s="55" t="s">
        <v>527</v>
      </c>
    </row>
    <row r="65" spans="1:6">
      <c r="A65" s="54">
        <v>39789</v>
      </c>
      <c r="B65" s="55">
        <v>80.668999999999997</v>
      </c>
      <c r="C65" s="55">
        <v>53.081000000000003</v>
      </c>
      <c r="D65" s="55">
        <v>59.143999999999998</v>
      </c>
      <c r="E65" s="55" t="s">
        <v>527</v>
      </c>
      <c r="F65" s="55" t="s">
        <v>527</v>
      </c>
    </row>
    <row r="66" spans="1:6">
      <c r="A66" s="54">
        <v>39790</v>
      </c>
      <c r="B66" s="55">
        <v>70.129000000000005</v>
      </c>
      <c r="C66" s="55">
        <v>50.326999999999998</v>
      </c>
      <c r="D66" s="55">
        <v>49.886000000000003</v>
      </c>
      <c r="E66" s="55" t="s">
        <v>527</v>
      </c>
      <c r="F66" s="55" t="s">
        <v>527</v>
      </c>
    </row>
    <row r="67" spans="1:6">
      <c r="A67" s="54">
        <v>39791</v>
      </c>
      <c r="B67" s="55">
        <v>66.09</v>
      </c>
      <c r="C67" s="55">
        <v>46.640999999999998</v>
      </c>
      <c r="D67" s="55">
        <v>47.01</v>
      </c>
      <c r="E67" s="55" t="s">
        <v>527</v>
      </c>
      <c r="F67" s="55" t="s">
        <v>527</v>
      </c>
    </row>
    <row r="68" spans="1:6">
      <c r="A68" s="54">
        <v>39792</v>
      </c>
      <c r="B68" s="55">
        <v>65.323999999999998</v>
      </c>
      <c r="C68" s="55">
        <v>46.177</v>
      </c>
      <c r="D68" s="55">
        <v>46.46</v>
      </c>
      <c r="E68" s="55" t="s">
        <v>527</v>
      </c>
      <c r="F68" s="55" t="s">
        <v>527</v>
      </c>
    </row>
    <row r="69" spans="1:6">
      <c r="A69" s="54">
        <v>39793</v>
      </c>
      <c r="B69" s="55">
        <v>64.233999999999995</v>
      </c>
      <c r="C69" s="55">
        <v>46.082000000000001</v>
      </c>
      <c r="D69" s="55">
        <v>45.234000000000002</v>
      </c>
      <c r="E69" s="55" t="s">
        <v>527</v>
      </c>
      <c r="F69" s="55" t="s">
        <v>527</v>
      </c>
    </row>
    <row r="70" spans="1:6">
      <c r="A70" s="54">
        <v>39794</v>
      </c>
      <c r="B70" s="55">
        <v>81.978999999999999</v>
      </c>
      <c r="C70" s="55">
        <v>60.8</v>
      </c>
      <c r="D70" s="55">
        <v>60.039000000000001</v>
      </c>
      <c r="E70" s="55" t="s">
        <v>527</v>
      </c>
      <c r="F70" s="55" t="s">
        <v>527</v>
      </c>
    </row>
    <row r="71" spans="1:6">
      <c r="A71" s="54">
        <v>39795</v>
      </c>
      <c r="B71" s="55">
        <v>88.462999999999994</v>
      </c>
      <c r="C71" s="55">
        <v>61.87</v>
      </c>
      <c r="D71" s="55">
        <v>67.611999999999995</v>
      </c>
      <c r="E71" s="55" t="s">
        <v>527</v>
      </c>
      <c r="F71" s="55" t="s">
        <v>527</v>
      </c>
    </row>
    <row r="72" spans="1:6">
      <c r="A72" s="54">
        <v>39796</v>
      </c>
      <c r="B72" s="55">
        <v>67.037999999999997</v>
      </c>
      <c r="C72" s="55">
        <v>44.807000000000002</v>
      </c>
      <c r="D72" s="55">
        <v>51.101999999999997</v>
      </c>
      <c r="E72" s="55" t="s">
        <v>527</v>
      </c>
      <c r="F72" s="55" t="s">
        <v>527</v>
      </c>
    </row>
    <row r="73" spans="1:6">
      <c r="A73" s="54">
        <v>39797</v>
      </c>
      <c r="B73" s="55">
        <v>53.613999999999997</v>
      </c>
      <c r="C73" s="55">
        <v>38.646999999999998</v>
      </c>
      <c r="D73" s="55">
        <v>39.872999999999998</v>
      </c>
      <c r="E73" s="55" t="s">
        <v>527</v>
      </c>
      <c r="F73" s="55" t="s">
        <v>527</v>
      </c>
    </row>
    <row r="74" spans="1:6">
      <c r="A74" s="54">
        <v>39798</v>
      </c>
      <c r="B74" s="55">
        <v>61.16</v>
      </c>
      <c r="C74" s="55">
        <v>45.021999999999998</v>
      </c>
      <c r="D74" s="55">
        <v>46.71</v>
      </c>
      <c r="E74" s="55" t="s">
        <v>527</v>
      </c>
      <c r="F74" s="55" t="s">
        <v>527</v>
      </c>
    </row>
    <row r="75" spans="1:6">
      <c r="A75" s="54">
        <v>39799</v>
      </c>
      <c r="B75" s="55">
        <v>62.323</v>
      </c>
      <c r="C75" s="55">
        <v>46.173000000000002</v>
      </c>
      <c r="D75" s="55">
        <v>48.158999999999999</v>
      </c>
      <c r="E75" s="55" t="s">
        <v>527</v>
      </c>
      <c r="F75" s="55" t="s">
        <v>527</v>
      </c>
    </row>
    <row r="76" spans="1:6">
      <c r="A76" s="54">
        <v>39800</v>
      </c>
      <c r="B76" s="55">
        <v>62.402000000000001</v>
      </c>
      <c r="C76" s="55">
        <v>45.597999999999999</v>
      </c>
      <c r="D76" s="55">
        <v>47.972999999999999</v>
      </c>
      <c r="E76" s="55" t="s">
        <v>527</v>
      </c>
      <c r="F76" s="55" t="s">
        <v>527</v>
      </c>
    </row>
    <row r="77" spans="1:6">
      <c r="A77" s="54">
        <v>39801</v>
      </c>
      <c r="B77" s="55">
        <v>82.981999999999999</v>
      </c>
      <c r="C77" s="55">
        <v>63.18</v>
      </c>
      <c r="D77" s="55">
        <v>65.064999999999998</v>
      </c>
      <c r="E77" s="55" t="s">
        <v>527</v>
      </c>
      <c r="F77" s="55" t="s">
        <v>527</v>
      </c>
    </row>
    <row r="78" spans="1:6">
      <c r="A78" s="54">
        <v>39802</v>
      </c>
      <c r="B78" s="55">
        <v>89.912999999999997</v>
      </c>
      <c r="C78" s="55">
        <v>66.119</v>
      </c>
      <c r="D78" s="55">
        <v>70.13</v>
      </c>
      <c r="E78" s="55" t="s">
        <v>527</v>
      </c>
      <c r="F78" s="55" t="s">
        <v>527</v>
      </c>
    </row>
    <row r="79" spans="1:6">
      <c r="A79" s="54">
        <v>39803</v>
      </c>
      <c r="B79" s="55">
        <v>73.524000000000001</v>
      </c>
      <c r="C79" s="55">
        <v>51.201000000000001</v>
      </c>
      <c r="D79" s="55">
        <v>56.996000000000002</v>
      </c>
      <c r="E79" s="55" t="s">
        <v>527</v>
      </c>
      <c r="F79" s="55" t="s">
        <v>527</v>
      </c>
    </row>
    <row r="80" spans="1:6">
      <c r="A80" s="54">
        <v>39804</v>
      </c>
      <c r="B80" s="55">
        <v>70.872</v>
      </c>
      <c r="C80" s="55">
        <v>49.308999999999997</v>
      </c>
      <c r="D80" s="55">
        <v>54.95</v>
      </c>
      <c r="E80" s="55" t="s">
        <v>527</v>
      </c>
      <c r="F80" s="55" t="s">
        <v>527</v>
      </c>
    </row>
    <row r="81" spans="1:6">
      <c r="A81" s="54">
        <v>39805</v>
      </c>
      <c r="B81" s="55">
        <v>68.387</v>
      </c>
      <c r="C81" s="55">
        <v>47.634</v>
      </c>
      <c r="D81" s="55">
        <v>52.762</v>
      </c>
      <c r="E81" s="55" t="s">
        <v>527</v>
      </c>
      <c r="F81" s="55" t="s">
        <v>527</v>
      </c>
    </row>
    <row r="82" spans="1:6">
      <c r="A82" s="54">
        <v>39806</v>
      </c>
      <c r="B82" s="55">
        <v>57.603000000000002</v>
      </c>
      <c r="C82" s="55">
        <v>40.787999999999997</v>
      </c>
      <c r="D82" s="55">
        <v>44.45</v>
      </c>
      <c r="E82" s="55" t="s">
        <v>527</v>
      </c>
      <c r="F82" s="55" t="s">
        <v>527</v>
      </c>
    </row>
    <row r="83" spans="1:6">
      <c r="A83" s="54">
        <v>39807</v>
      </c>
      <c r="B83" s="55">
        <v>45.301000000000002</v>
      </c>
      <c r="C83" s="55">
        <v>33.284999999999997</v>
      </c>
      <c r="D83" s="55">
        <v>33.662999999999997</v>
      </c>
      <c r="E83" s="55" t="s">
        <v>527</v>
      </c>
      <c r="F83" s="55" t="s">
        <v>527</v>
      </c>
    </row>
    <row r="84" spans="1:6">
      <c r="A84" s="54">
        <v>39808</v>
      </c>
      <c r="B84" s="55">
        <v>62.122999999999998</v>
      </c>
      <c r="C84" s="55">
        <v>47.326999999999998</v>
      </c>
      <c r="D84" s="55">
        <v>45.363999999999997</v>
      </c>
      <c r="E84" s="55" t="s">
        <v>527</v>
      </c>
      <c r="F84" s="55" t="s">
        <v>527</v>
      </c>
    </row>
    <row r="85" spans="1:6">
      <c r="A85" s="54">
        <v>39809</v>
      </c>
      <c r="B85" s="55">
        <v>64.334000000000003</v>
      </c>
      <c r="C85" s="55">
        <v>48.651000000000003</v>
      </c>
      <c r="D85" s="55">
        <v>48.064999999999998</v>
      </c>
      <c r="E85" s="55" t="s">
        <v>527</v>
      </c>
      <c r="F85" s="55" t="s">
        <v>527</v>
      </c>
    </row>
    <row r="86" spans="1:6">
      <c r="A86" s="54">
        <v>39810</v>
      </c>
      <c r="B86" s="55">
        <v>51.649000000000001</v>
      </c>
      <c r="C86" s="55">
        <v>36.988</v>
      </c>
      <c r="D86" s="55">
        <v>39.659999999999997</v>
      </c>
      <c r="E86" s="55" t="s">
        <v>527</v>
      </c>
      <c r="F86" s="55" t="s">
        <v>527</v>
      </c>
    </row>
    <row r="87" spans="1:6">
      <c r="A87" s="54">
        <v>39811</v>
      </c>
      <c r="B87" s="55">
        <v>61.9</v>
      </c>
      <c r="C87" s="55">
        <v>44.16</v>
      </c>
      <c r="D87" s="55">
        <v>49.792000000000002</v>
      </c>
      <c r="E87" s="55" t="s">
        <v>527</v>
      </c>
      <c r="F87" s="55" t="s">
        <v>527</v>
      </c>
    </row>
    <row r="88" spans="1:6">
      <c r="A88" s="54">
        <v>39812</v>
      </c>
      <c r="B88" s="55">
        <v>67.188000000000002</v>
      </c>
      <c r="C88" s="55">
        <v>48.423000000000002</v>
      </c>
      <c r="D88" s="55">
        <v>54.85</v>
      </c>
      <c r="E88" s="55" t="s">
        <v>527</v>
      </c>
      <c r="F88" s="55" t="s">
        <v>527</v>
      </c>
    </row>
    <row r="89" spans="1:6">
      <c r="A89" s="54">
        <v>39813</v>
      </c>
      <c r="B89" s="55">
        <v>76.869</v>
      </c>
      <c r="C89" s="55">
        <v>57.106000000000002</v>
      </c>
      <c r="D89" s="55">
        <v>64.069999999999993</v>
      </c>
      <c r="E89" s="55" t="s">
        <v>527</v>
      </c>
      <c r="F89" s="55" t="s">
        <v>527</v>
      </c>
    </row>
    <row r="90" spans="1:6">
      <c r="A90" s="56"/>
    </row>
    <row r="91" spans="1:6">
      <c r="A91" s="57" t="s">
        <v>536</v>
      </c>
    </row>
    <row r="92" spans="1:6">
      <c r="A92" s="57" t="s">
        <v>529</v>
      </c>
    </row>
    <row r="93" spans="1:6" ht="18">
      <c r="A93" s="58" t="s">
        <v>537</v>
      </c>
    </row>
    <row r="94" spans="1:6">
      <c r="A94" s="57" t="s">
        <v>531</v>
      </c>
    </row>
    <row r="95" spans="1:6">
      <c r="A95" s="59">
        <v>840.62900000000002</v>
      </c>
    </row>
    <row r="96" spans="1:6">
      <c r="A96" s="57" t="s">
        <v>533</v>
      </c>
    </row>
    <row r="97" spans="1:6">
      <c r="A97" s="60">
        <v>25934</v>
      </c>
    </row>
    <row r="98" spans="1:6">
      <c r="A98" s="61"/>
    </row>
    <row r="99" spans="1:6" ht="30">
      <c r="A99" s="52" t="s">
        <v>521</v>
      </c>
      <c r="B99" s="52" t="s">
        <v>522</v>
      </c>
      <c r="C99" s="52" t="s">
        <v>523</v>
      </c>
      <c r="D99" s="53" t="s">
        <v>524</v>
      </c>
      <c r="E99" s="53" t="s">
        <v>525</v>
      </c>
      <c r="F99" s="53" t="s">
        <v>526</v>
      </c>
    </row>
    <row r="100" spans="1:6">
      <c r="A100" s="54">
        <v>39814</v>
      </c>
      <c r="B100" s="55">
        <v>71.194000000000003</v>
      </c>
      <c r="C100" s="55">
        <v>53.73</v>
      </c>
      <c r="D100" s="55">
        <v>58.551000000000002</v>
      </c>
      <c r="E100" s="55" t="s">
        <v>527</v>
      </c>
      <c r="F100" s="55" t="s">
        <v>527</v>
      </c>
    </row>
    <row r="101" spans="1:6">
      <c r="A101" s="54">
        <v>39815</v>
      </c>
      <c r="B101" s="55">
        <v>74.168000000000006</v>
      </c>
      <c r="C101" s="55">
        <v>54.817</v>
      </c>
      <c r="D101" s="55">
        <v>60.633000000000003</v>
      </c>
      <c r="E101" s="55" t="s">
        <v>527</v>
      </c>
      <c r="F101" s="55" t="s">
        <v>527</v>
      </c>
    </row>
    <row r="102" spans="1:6">
      <c r="A102" s="54">
        <v>39816</v>
      </c>
      <c r="B102" s="55">
        <v>65.792000000000002</v>
      </c>
      <c r="C102" s="55">
        <v>47.874000000000002</v>
      </c>
      <c r="D102" s="55">
        <v>53.228999999999999</v>
      </c>
      <c r="E102" s="55" t="s">
        <v>527</v>
      </c>
      <c r="F102" s="55" t="s">
        <v>527</v>
      </c>
    </row>
    <row r="103" spans="1:6">
      <c r="A103" s="54">
        <v>39817</v>
      </c>
      <c r="B103" s="55">
        <v>55.134</v>
      </c>
      <c r="C103" s="55">
        <v>39.262</v>
      </c>
      <c r="D103" s="55">
        <v>44.087000000000003</v>
      </c>
      <c r="E103" s="55" t="s">
        <v>527</v>
      </c>
      <c r="F103" s="55" t="s">
        <v>527</v>
      </c>
    </row>
    <row r="104" spans="1:6">
      <c r="A104" s="54">
        <v>39818</v>
      </c>
      <c r="B104" s="55">
        <v>44.398000000000003</v>
      </c>
      <c r="C104" s="55">
        <v>32.625</v>
      </c>
      <c r="D104" s="55">
        <v>34.807000000000002</v>
      </c>
      <c r="E104" s="55" t="s">
        <v>527</v>
      </c>
      <c r="F104" s="55" t="s">
        <v>527</v>
      </c>
    </row>
    <row r="105" spans="1:6">
      <c r="A105" s="54">
        <v>39819</v>
      </c>
      <c r="B105" s="55">
        <v>43.469000000000001</v>
      </c>
      <c r="C105" s="55">
        <v>32.646999999999998</v>
      </c>
      <c r="D105" s="55">
        <v>34.01</v>
      </c>
      <c r="E105" s="55" t="s">
        <v>527</v>
      </c>
      <c r="F105" s="55" t="s">
        <v>527</v>
      </c>
    </row>
    <row r="106" spans="1:6">
      <c r="A106" s="54">
        <v>39820</v>
      </c>
      <c r="B106" s="55">
        <v>43.844999999999999</v>
      </c>
      <c r="C106" s="55">
        <v>32.991999999999997</v>
      </c>
      <c r="D106" s="55">
        <v>34.128</v>
      </c>
      <c r="E106" s="55" t="s">
        <v>527</v>
      </c>
      <c r="F106" s="55" t="s">
        <v>527</v>
      </c>
    </row>
    <row r="107" spans="1:6">
      <c r="A107" s="54">
        <v>39821</v>
      </c>
      <c r="B107" s="55">
        <v>43.707000000000001</v>
      </c>
      <c r="C107" s="55">
        <v>33.627000000000002</v>
      </c>
      <c r="D107" s="55">
        <v>34.482999999999997</v>
      </c>
      <c r="E107" s="55" t="s">
        <v>527</v>
      </c>
      <c r="F107" s="55" t="s">
        <v>527</v>
      </c>
    </row>
    <row r="108" spans="1:6">
      <c r="A108" s="54">
        <v>39822</v>
      </c>
      <c r="B108" s="55">
        <v>58.220999999999997</v>
      </c>
      <c r="C108" s="55">
        <v>45.247999999999998</v>
      </c>
      <c r="D108" s="55">
        <v>47.683999999999997</v>
      </c>
      <c r="E108" s="55" t="s">
        <v>527</v>
      </c>
      <c r="F108" s="55" t="s">
        <v>527</v>
      </c>
    </row>
    <row r="109" spans="1:6">
      <c r="A109" s="54">
        <v>39823</v>
      </c>
      <c r="B109" s="55">
        <v>69.406999999999996</v>
      </c>
      <c r="C109" s="55">
        <v>50.767000000000003</v>
      </c>
      <c r="D109" s="55">
        <v>57.933</v>
      </c>
      <c r="E109" s="55" t="s">
        <v>527</v>
      </c>
      <c r="F109" s="55" t="s">
        <v>527</v>
      </c>
    </row>
    <row r="110" spans="1:6">
      <c r="A110" s="54">
        <v>39824</v>
      </c>
      <c r="B110" s="55">
        <v>59.28</v>
      </c>
      <c r="C110" s="55">
        <v>42.329000000000001</v>
      </c>
      <c r="D110" s="55">
        <v>49.48</v>
      </c>
      <c r="E110" s="55" t="s">
        <v>527</v>
      </c>
      <c r="F110" s="55" t="s">
        <v>527</v>
      </c>
    </row>
    <row r="111" spans="1:6">
      <c r="A111" s="54">
        <v>39825</v>
      </c>
      <c r="B111" s="55">
        <v>47.33</v>
      </c>
      <c r="C111" s="55">
        <v>36.540999999999997</v>
      </c>
      <c r="D111" s="55">
        <v>33.012999999999998</v>
      </c>
      <c r="E111" s="55" t="s">
        <v>527</v>
      </c>
      <c r="F111" s="55" t="s">
        <v>527</v>
      </c>
    </row>
    <row r="112" spans="1:6">
      <c r="A112" s="54">
        <v>39826</v>
      </c>
      <c r="B112" s="55">
        <v>48.39</v>
      </c>
      <c r="C112" s="55">
        <v>37.701999999999998</v>
      </c>
      <c r="D112" s="55">
        <v>39.539000000000001</v>
      </c>
      <c r="E112" s="55" t="s">
        <v>527</v>
      </c>
      <c r="F112" s="55" t="s">
        <v>527</v>
      </c>
    </row>
    <row r="113" spans="1:6">
      <c r="A113" s="54">
        <v>39827</v>
      </c>
      <c r="B113" s="55">
        <v>52.231999999999999</v>
      </c>
      <c r="C113" s="55">
        <v>40.156999999999996</v>
      </c>
      <c r="D113" s="55">
        <v>43.017000000000003</v>
      </c>
      <c r="E113" s="55" t="s">
        <v>527</v>
      </c>
      <c r="F113" s="55" t="s">
        <v>527</v>
      </c>
    </row>
    <row r="114" spans="1:6">
      <c r="A114" s="54">
        <v>39828</v>
      </c>
      <c r="B114" s="55">
        <v>50.595999999999997</v>
      </c>
      <c r="C114" s="55">
        <v>39.082000000000001</v>
      </c>
      <c r="D114" s="55">
        <v>40.905000000000001</v>
      </c>
      <c r="E114" s="55" t="s">
        <v>527</v>
      </c>
      <c r="F114" s="55" t="s">
        <v>527</v>
      </c>
    </row>
    <row r="115" spans="1:6">
      <c r="A115" s="54">
        <v>39829</v>
      </c>
      <c r="B115" s="55">
        <v>59.7</v>
      </c>
      <c r="C115" s="55">
        <v>46.106999999999999</v>
      </c>
      <c r="D115" s="55">
        <v>47.837000000000003</v>
      </c>
      <c r="E115" s="55" t="s">
        <v>527</v>
      </c>
      <c r="F115" s="55" t="s">
        <v>527</v>
      </c>
    </row>
    <row r="116" spans="1:6">
      <c r="A116" s="54">
        <v>39830</v>
      </c>
      <c r="B116" s="55">
        <v>71.019000000000005</v>
      </c>
      <c r="C116" s="55">
        <v>52.453000000000003</v>
      </c>
      <c r="D116" s="55">
        <v>57.954999999999998</v>
      </c>
      <c r="E116" s="55" t="s">
        <v>527</v>
      </c>
      <c r="F116" s="55" t="s">
        <v>527</v>
      </c>
    </row>
    <row r="117" spans="1:6">
      <c r="A117" s="54">
        <v>39831</v>
      </c>
      <c r="B117" s="55">
        <v>64.137</v>
      </c>
      <c r="C117" s="55">
        <v>47.284999999999997</v>
      </c>
      <c r="D117" s="55">
        <v>52.670999999999999</v>
      </c>
      <c r="E117" s="55" t="s">
        <v>527</v>
      </c>
      <c r="F117" s="55" t="s">
        <v>527</v>
      </c>
    </row>
    <row r="118" spans="1:6">
      <c r="A118" s="54">
        <v>39832</v>
      </c>
      <c r="B118" s="55">
        <v>56.526000000000003</v>
      </c>
      <c r="C118" s="55">
        <v>42.57</v>
      </c>
      <c r="D118" s="55">
        <v>46.042999999999999</v>
      </c>
      <c r="E118" s="55" t="s">
        <v>527</v>
      </c>
      <c r="F118" s="55" t="s">
        <v>527</v>
      </c>
    </row>
    <row r="119" spans="1:6">
      <c r="A119" s="54">
        <v>39833</v>
      </c>
      <c r="B119" s="55">
        <v>52.686999999999998</v>
      </c>
      <c r="C119" s="55">
        <v>40.805999999999997</v>
      </c>
      <c r="D119" s="55">
        <v>42.667999999999999</v>
      </c>
      <c r="E119" s="55" t="s">
        <v>527</v>
      </c>
      <c r="F119" s="55" t="s">
        <v>527</v>
      </c>
    </row>
    <row r="120" spans="1:6">
      <c r="A120" s="54">
        <v>39834</v>
      </c>
      <c r="B120" s="55">
        <v>51.826000000000001</v>
      </c>
      <c r="C120" s="55">
        <v>40.284999999999997</v>
      </c>
      <c r="D120" s="55">
        <v>42.188000000000002</v>
      </c>
      <c r="E120" s="55" t="s">
        <v>527</v>
      </c>
      <c r="F120" s="55" t="s">
        <v>527</v>
      </c>
    </row>
    <row r="121" spans="1:6">
      <c r="A121" s="54">
        <v>39835</v>
      </c>
      <c r="B121" s="55">
        <v>51.823</v>
      </c>
      <c r="C121" s="55">
        <v>40.137999999999998</v>
      </c>
      <c r="D121" s="55">
        <v>42.026000000000003</v>
      </c>
      <c r="E121" s="55" t="s">
        <v>527</v>
      </c>
      <c r="F121" s="55" t="s">
        <v>527</v>
      </c>
    </row>
    <row r="122" spans="1:6">
      <c r="A122" s="54">
        <v>39836</v>
      </c>
      <c r="B122" s="55">
        <v>59.542999999999999</v>
      </c>
      <c r="C122" s="55">
        <v>45.984999999999999</v>
      </c>
      <c r="D122" s="55">
        <v>48.417000000000002</v>
      </c>
      <c r="E122" s="55" t="s">
        <v>527</v>
      </c>
      <c r="F122" s="55" t="s">
        <v>527</v>
      </c>
    </row>
    <row r="123" spans="1:6">
      <c r="A123" s="54">
        <v>39837</v>
      </c>
      <c r="B123" s="55">
        <v>67.251000000000005</v>
      </c>
      <c r="C123" s="55">
        <v>49.228999999999999</v>
      </c>
      <c r="D123" s="55">
        <v>55.436999999999998</v>
      </c>
      <c r="E123" s="55" t="s">
        <v>527</v>
      </c>
      <c r="F123" s="55" t="s">
        <v>527</v>
      </c>
    </row>
    <row r="124" spans="1:6">
      <c r="A124" s="54">
        <v>39838</v>
      </c>
      <c r="B124" s="55">
        <v>64.031000000000006</v>
      </c>
      <c r="C124" s="55">
        <v>46.652999999999999</v>
      </c>
      <c r="D124" s="55">
        <v>52.698</v>
      </c>
      <c r="E124" s="55" t="s">
        <v>527</v>
      </c>
      <c r="F124" s="55" t="s">
        <v>527</v>
      </c>
    </row>
    <row r="125" spans="1:6">
      <c r="A125" s="54">
        <v>39839</v>
      </c>
      <c r="B125" s="55">
        <v>56.088999999999999</v>
      </c>
      <c r="C125" s="55">
        <v>43.171999999999997</v>
      </c>
      <c r="D125" s="55">
        <v>46.271000000000001</v>
      </c>
      <c r="E125" s="55" t="s">
        <v>527</v>
      </c>
      <c r="F125" s="55" t="s">
        <v>527</v>
      </c>
    </row>
    <row r="126" spans="1:6">
      <c r="A126" s="54">
        <v>39840</v>
      </c>
      <c r="B126" s="55">
        <v>55.177999999999997</v>
      </c>
      <c r="C126" s="55">
        <v>42.362000000000002</v>
      </c>
      <c r="D126" s="55">
        <v>45.500999999999998</v>
      </c>
      <c r="E126" s="55" t="s">
        <v>527</v>
      </c>
      <c r="F126" s="55" t="s">
        <v>527</v>
      </c>
    </row>
    <row r="127" spans="1:6">
      <c r="A127" s="54">
        <v>39841</v>
      </c>
      <c r="B127" s="55">
        <v>56.723999999999997</v>
      </c>
      <c r="C127" s="55">
        <v>42.64</v>
      </c>
      <c r="D127" s="55">
        <v>46.91</v>
      </c>
      <c r="E127" s="55" t="s">
        <v>527</v>
      </c>
      <c r="F127" s="55" t="s">
        <v>527</v>
      </c>
    </row>
    <row r="128" spans="1:6">
      <c r="A128" s="54">
        <v>39842</v>
      </c>
      <c r="B128" s="55">
        <v>53.033999999999999</v>
      </c>
      <c r="C128" s="55">
        <v>40.087000000000003</v>
      </c>
      <c r="D128" s="55">
        <v>43.359000000000002</v>
      </c>
      <c r="E128" s="55" t="s">
        <v>527</v>
      </c>
      <c r="F128" s="55" t="s">
        <v>527</v>
      </c>
    </row>
    <row r="129" spans="1:6">
      <c r="A129" s="54">
        <v>39843</v>
      </c>
      <c r="B129" s="55">
        <v>59.69</v>
      </c>
      <c r="C129" s="55">
        <v>45.957000000000001</v>
      </c>
      <c r="D129" s="55">
        <v>48.343000000000004</v>
      </c>
      <c r="E129" s="55" t="s">
        <v>527</v>
      </c>
      <c r="F129" s="55" t="s">
        <v>527</v>
      </c>
    </row>
    <row r="130" spans="1:6">
      <c r="A130" s="54">
        <v>39844</v>
      </c>
      <c r="B130" s="55">
        <v>67.772000000000006</v>
      </c>
      <c r="C130" s="55">
        <v>44.067999999999998</v>
      </c>
      <c r="D130" s="55">
        <v>55.808</v>
      </c>
      <c r="E130" s="55" t="s">
        <v>527</v>
      </c>
      <c r="F130" s="55" t="s">
        <v>527</v>
      </c>
    </row>
    <row r="131" spans="1:6">
      <c r="A131" s="56"/>
    </row>
    <row r="132" spans="1:6">
      <c r="A132" s="57" t="s">
        <v>538</v>
      </c>
    </row>
    <row r="133" spans="1:6">
      <c r="A133" s="57" t="s">
        <v>529</v>
      </c>
    </row>
    <row r="134" spans="1:6" ht="18">
      <c r="A134" s="58" t="s">
        <v>539</v>
      </c>
    </row>
    <row r="135" spans="1:6">
      <c r="A135" s="57" t="s">
        <v>531</v>
      </c>
    </row>
    <row r="136" spans="1:6">
      <c r="A136" s="59">
        <v>625.34</v>
      </c>
    </row>
    <row r="137" spans="1:6">
      <c r="A137" s="57" t="s">
        <v>533</v>
      </c>
    </row>
    <row r="138" spans="1:6">
      <c r="A138" s="60">
        <v>26665</v>
      </c>
    </row>
    <row r="139" spans="1:6">
      <c r="A139" s="61"/>
    </row>
    <row r="140" spans="1:6" ht="30">
      <c r="A140" s="52" t="s">
        <v>521</v>
      </c>
      <c r="B140" s="52" t="s">
        <v>522</v>
      </c>
      <c r="C140" s="52" t="s">
        <v>523</v>
      </c>
      <c r="D140" s="53" t="s">
        <v>524</v>
      </c>
      <c r="E140" s="53" t="s">
        <v>525</v>
      </c>
      <c r="F140" s="53" t="s">
        <v>526</v>
      </c>
    </row>
    <row r="141" spans="1:6">
      <c r="A141" s="54">
        <v>39845</v>
      </c>
      <c r="B141" s="55">
        <v>58.938000000000002</v>
      </c>
      <c r="C141" s="55">
        <v>36.909999999999997</v>
      </c>
      <c r="D141" s="55">
        <v>47.27</v>
      </c>
      <c r="E141" s="55" t="s">
        <v>527</v>
      </c>
      <c r="F141" s="55" t="s">
        <v>527</v>
      </c>
    </row>
    <row r="142" spans="1:6">
      <c r="A142" s="54">
        <v>39846</v>
      </c>
      <c r="B142" s="55">
        <v>48.639000000000003</v>
      </c>
      <c r="C142" s="55">
        <v>31.919</v>
      </c>
      <c r="D142" s="55">
        <v>38.673999999999999</v>
      </c>
      <c r="E142" s="55" t="s">
        <v>527</v>
      </c>
      <c r="F142" s="55" t="s">
        <v>527</v>
      </c>
    </row>
    <row r="143" spans="1:6">
      <c r="A143" s="54">
        <v>39847</v>
      </c>
      <c r="B143" s="55">
        <v>48.463000000000001</v>
      </c>
      <c r="C143" s="55">
        <v>31.856999999999999</v>
      </c>
      <c r="D143" s="55">
        <v>38.262999999999998</v>
      </c>
      <c r="E143" s="55" t="s">
        <v>527</v>
      </c>
      <c r="F143" s="55" t="s">
        <v>527</v>
      </c>
    </row>
    <row r="144" spans="1:6">
      <c r="A144" s="54">
        <v>39848</v>
      </c>
      <c r="B144" s="55">
        <v>49.26</v>
      </c>
      <c r="C144" s="55">
        <v>32.304000000000002</v>
      </c>
      <c r="D144" s="55">
        <v>38.433999999999997</v>
      </c>
      <c r="E144" s="55" t="s">
        <v>527</v>
      </c>
      <c r="F144" s="55" t="s">
        <v>527</v>
      </c>
    </row>
    <row r="145" spans="1:6">
      <c r="A145" s="54">
        <v>39849</v>
      </c>
      <c r="B145" s="55">
        <v>49.615000000000002</v>
      </c>
      <c r="C145" s="55">
        <v>32.435000000000002</v>
      </c>
      <c r="D145" s="55">
        <v>36.81</v>
      </c>
      <c r="E145" s="55" t="s">
        <v>527</v>
      </c>
      <c r="F145" s="55" t="s">
        <v>527</v>
      </c>
    </row>
    <row r="146" spans="1:6">
      <c r="A146" s="54">
        <v>39850</v>
      </c>
      <c r="B146" s="55">
        <v>55.47</v>
      </c>
      <c r="C146" s="55">
        <v>35.414000000000001</v>
      </c>
      <c r="D146" s="55">
        <v>40.588999999999999</v>
      </c>
      <c r="E146" s="55" t="s">
        <v>527</v>
      </c>
      <c r="F146" s="55" t="s">
        <v>527</v>
      </c>
    </row>
    <row r="147" spans="1:6">
      <c r="A147" s="54">
        <v>39851</v>
      </c>
      <c r="B147" s="55">
        <v>63.116</v>
      </c>
      <c r="C147" s="55">
        <v>38.381</v>
      </c>
      <c r="D147" s="55">
        <v>47.271000000000001</v>
      </c>
      <c r="E147" s="55" t="s">
        <v>527</v>
      </c>
      <c r="F147" s="55" t="s">
        <v>527</v>
      </c>
    </row>
    <row r="148" spans="1:6">
      <c r="A148" s="54">
        <v>39852</v>
      </c>
      <c r="B148" s="55">
        <v>53.44</v>
      </c>
      <c r="C148" s="55">
        <v>33.155999999999999</v>
      </c>
      <c r="D148" s="55">
        <v>40.098999999999997</v>
      </c>
      <c r="E148" s="55" t="s">
        <v>527</v>
      </c>
      <c r="F148" s="55" t="s">
        <v>527</v>
      </c>
    </row>
    <row r="149" spans="1:6">
      <c r="A149" s="54">
        <v>39853</v>
      </c>
      <c r="B149" s="55">
        <v>40.896000000000001</v>
      </c>
      <c r="C149" s="55">
        <v>26.893999999999998</v>
      </c>
      <c r="D149" s="55">
        <v>30.602</v>
      </c>
      <c r="E149" s="55" t="s">
        <v>527</v>
      </c>
      <c r="F149" s="55" t="s">
        <v>527</v>
      </c>
    </row>
    <row r="150" spans="1:6">
      <c r="A150" s="54">
        <v>39854</v>
      </c>
      <c r="B150" s="55">
        <v>38.003999999999998</v>
      </c>
      <c r="C150" s="55">
        <v>24.713999999999999</v>
      </c>
      <c r="D150" s="55">
        <v>29.742999999999999</v>
      </c>
      <c r="E150" s="55" t="s">
        <v>527</v>
      </c>
      <c r="F150" s="55" t="s">
        <v>527</v>
      </c>
    </row>
    <row r="151" spans="1:6">
      <c r="A151" s="54">
        <v>39855</v>
      </c>
      <c r="B151" s="55">
        <v>36.987000000000002</v>
      </c>
      <c r="C151" s="55">
        <v>25.335000000000001</v>
      </c>
      <c r="D151" s="55">
        <v>29.088999999999999</v>
      </c>
      <c r="E151" s="55" t="s">
        <v>527</v>
      </c>
      <c r="F151" s="55" t="s">
        <v>527</v>
      </c>
    </row>
    <row r="152" spans="1:6">
      <c r="A152" s="54">
        <v>39856</v>
      </c>
      <c r="B152" s="55">
        <v>38.274999999999999</v>
      </c>
      <c r="C152" s="55">
        <v>29.131</v>
      </c>
      <c r="D152" s="55">
        <v>31.324000000000002</v>
      </c>
      <c r="E152" s="55" t="s">
        <v>527</v>
      </c>
      <c r="F152" s="55" t="s">
        <v>527</v>
      </c>
    </row>
    <row r="153" spans="1:6">
      <c r="A153" s="54">
        <v>39857</v>
      </c>
      <c r="B153" s="55">
        <v>59.715000000000003</v>
      </c>
      <c r="C153" s="55">
        <v>39.36</v>
      </c>
      <c r="D153" s="55">
        <v>50.423000000000002</v>
      </c>
      <c r="E153" s="55" t="s">
        <v>527</v>
      </c>
      <c r="F153" s="55" t="s">
        <v>527</v>
      </c>
    </row>
    <row r="154" spans="1:6">
      <c r="A154" s="54">
        <v>39858</v>
      </c>
      <c r="B154" s="55">
        <v>63.906999999999996</v>
      </c>
      <c r="C154" s="55">
        <v>38.478000000000002</v>
      </c>
      <c r="D154" s="55">
        <v>54.235999999999997</v>
      </c>
      <c r="E154" s="55" t="s">
        <v>527</v>
      </c>
      <c r="F154" s="55" t="s">
        <v>527</v>
      </c>
    </row>
    <row r="155" spans="1:6">
      <c r="A155" s="54">
        <v>39859</v>
      </c>
      <c r="B155" s="55">
        <v>49.887</v>
      </c>
      <c r="C155" s="55">
        <v>29.596</v>
      </c>
      <c r="D155" s="55">
        <v>42.466999999999999</v>
      </c>
      <c r="E155" s="55" t="s">
        <v>527</v>
      </c>
      <c r="F155" s="55" t="s">
        <v>527</v>
      </c>
    </row>
    <row r="156" spans="1:6">
      <c r="A156" s="54">
        <v>39860</v>
      </c>
      <c r="B156" s="55">
        <v>42.344000000000001</v>
      </c>
      <c r="C156" s="55">
        <v>25.596</v>
      </c>
      <c r="D156" s="55">
        <v>34.968000000000004</v>
      </c>
      <c r="E156" s="55" t="s">
        <v>527</v>
      </c>
      <c r="F156" s="55" t="s">
        <v>527</v>
      </c>
    </row>
    <row r="157" spans="1:6">
      <c r="A157" s="54">
        <v>39861</v>
      </c>
      <c r="B157" s="55">
        <v>38.420999999999999</v>
      </c>
      <c r="C157" s="55">
        <v>23.986000000000001</v>
      </c>
      <c r="D157" s="55">
        <v>30.63</v>
      </c>
      <c r="E157" s="55" t="s">
        <v>527</v>
      </c>
      <c r="F157" s="55" t="s">
        <v>527</v>
      </c>
    </row>
    <row r="158" spans="1:6">
      <c r="A158" s="54">
        <v>39862</v>
      </c>
      <c r="B158" s="55">
        <v>38.716000000000001</v>
      </c>
      <c r="C158" s="55">
        <v>23.92</v>
      </c>
      <c r="D158" s="55">
        <v>30.952000000000002</v>
      </c>
      <c r="E158" s="55" t="s">
        <v>527</v>
      </c>
      <c r="F158" s="55" t="s">
        <v>527</v>
      </c>
    </row>
    <row r="159" spans="1:6">
      <c r="A159" s="54">
        <v>39863</v>
      </c>
      <c r="B159" s="55">
        <v>37.716000000000001</v>
      </c>
      <c r="C159" s="55">
        <v>26.972000000000001</v>
      </c>
      <c r="D159" s="55">
        <v>30.001999999999999</v>
      </c>
      <c r="E159" s="55" t="s">
        <v>527</v>
      </c>
      <c r="F159" s="55" t="s">
        <v>527</v>
      </c>
    </row>
    <row r="160" spans="1:6">
      <c r="A160" s="54">
        <v>39864</v>
      </c>
      <c r="B160" s="55">
        <v>59.426000000000002</v>
      </c>
      <c r="C160" s="55">
        <v>44.551000000000002</v>
      </c>
      <c r="D160" s="55">
        <v>47.094000000000001</v>
      </c>
      <c r="E160" s="55" t="s">
        <v>527</v>
      </c>
      <c r="F160" s="55" t="s">
        <v>527</v>
      </c>
    </row>
    <row r="161" spans="1:6">
      <c r="A161" s="54">
        <v>39865</v>
      </c>
      <c r="B161" s="55">
        <v>70.977999999999994</v>
      </c>
      <c r="C161" s="55">
        <v>50.713000000000001</v>
      </c>
      <c r="D161" s="55">
        <v>56.473999999999997</v>
      </c>
      <c r="E161" s="55" t="s">
        <v>527</v>
      </c>
      <c r="F161" s="55" t="s">
        <v>527</v>
      </c>
    </row>
    <row r="162" spans="1:6">
      <c r="A162" s="54">
        <v>39866</v>
      </c>
      <c r="B162" s="55">
        <v>56.689</v>
      </c>
      <c r="C162" s="55">
        <v>38.935000000000002</v>
      </c>
      <c r="D162" s="55">
        <v>45.615000000000002</v>
      </c>
      <c r="E162" s="55" t="s">
        <v>527</v>
      </c>
      <c r="F162" s="55" t="s">
        <v>527</v>
      </c>
    </row>
    <row r="163" spans="1:6">
      <c r="A163" s="54">
        <v>39867</v>
      </c>
      <c r="B163" s="55">
        <v>42.784999999999997</v>
      </c>
      <c r="C163" s="55">
        <v>30.472000000000001</v>
      </c>
      <c r="D163" s="55">
        <v>33.564</v>
      </c>
      <c r="E163" s="55" t="s">
        <v>527</v>
      </c>
      <c r="F163" s="55" t="s">
        <v>527</v>
      </c>
    </row>
    <row r="164" spans="1:6">
      <c r="A164" s="54">
        <v>39868</v>
      </c>
      <c r="B164" s="55">
        <v>37.558</v>
      </c>
      <c r="C164" s="55">
        <v>27.079000000000001</v>
      </c>
      <c r="D164" s="55">
        <v>29.643999999999998</v>
      </c>
      <c r="E164" s="55" t="s">
        <v>527</v>
      </c>
      <c r="F164" s="55" t="s">
        <v>527</v>
      </c>
    </row>
    <row r="165" spans="1:6">
      <c r="A165" s="54">
        <v>39869</v>
      </c>
      <c r="B165" s="55">
        <v>35.902999999999999</v>
      </c>
      <c r="C165" s="55">
        <v>26.254000000000001</v>
      </c>
      <c r="D165" s="55">
        <v>27.914999999999999</v>
      </c>
      <c r="E165" s="55" t="s">
        <v>527</v>
      </c>
      <c r="F165" s="55" t="s">
        <v>527</v>
      </c>
    </row>
    <row r="166" spans="1:6">
      <c r="A166" s="54">
        <v>39870</v>
      </c>
      <c r="B166" s="55">
        <v>37.170999999999999</v>
      </c>
      <c r="C166" s="55">
        <v>24.03</v>
      </c>
      <c r="D166" s="55">
        <v>29.408000000000001</v>
      </c>
      <c r="E166" s="55" t="s">
        <v>527</v>
      </c>
      <c r="F166" s="55" t="s">
        <v>527</v>
      </c>
    </row>
    <row r="167" spans="1:6">
      <c r="A167" s="54">
        <v>39871</v>
      </c>
      <c r="B167" s="55">
        <v>49.914999999999999</v>
      </c>
      <c r="C167" s="55">
        <v>31.568999999999999</v>
      </c>
      <c r="D167" s="55">
        <v>44.021000000000001</v>
      </c>
      <c r="E167" s="55" t="s">
        <v>527</v>
      </c>
      <c r="F167" s="55" t="s">
        <v>527</v>
      </c>
    </row>
    <row r="168" spans="1:6">
      <c r="A168" s="54">
        <v>39872</v>
      </c>
      <c r="B168" s="55">
        <v>56.344999999999999</v>
      </c>
      <c r="C168" s="55">
        <v>33.649000000000001</v>
      </c>
      <c r="D168" s="55">
        <v>45.75</v>
      </c>
      <c r="E168" s="55" t="s">
        <v>527</v>
      </c>
      <c r="F168" s="55" t="s">
        <v>527</v>
      </c>
    </row>
    <row r="169" spans="1:6">
      <c r="A169" s="56"/>
    </row>
    <row r="170" spans="1:6">
      <c r="A170" s="57" t="s">
        <v>540</v>
      </c>
    </row>
    <row r="171" spans="1:6">
      <c r="A171" s="57" t="s">
        <v>529</v>
      </c>
    </row>
    <row r="172" spans="1:6" ht="18">
      <c r="A172" s="58">
        <v>893.60900000000004</v>
      </c>
    </row>
    <row r="173" spans="1:6">
      <c r="A173" s="57" t="s">
        <v>531</v>
      </c>
    </row>
    <row r="174" spans="1:6">
      <c r="A174" s="59">
        <v>481.93799999999999</v>
      </c>
    </row>
    <row r="175" spans="1:6">
      <c r="A175" s="57" t="s">
        <v>533</v>
      </c>
    </row>
    <row r="176" spans="1:6">
      <c r="A176" s="60">
        <v>31048</v>
      </c>
    </row>
    <row r="177" spans="1:6">
      <c r="A177" s="61"/>
    </row>
    <row r="178" spans="1:6" ht="30">
      <c r="A178" s="52" t="s">
        <v>521</v>
      </c>
      <c r="B178" s="52" t="s">
        <v>522</v>
      </c>
      <c r="C178" s="52" t="s">
        <v>523</v>
      </c>
      <c r="D178" s="53" t="s">
        <v>524</v>
      </c>
      <c r="E178" s="53" t="s">
        <v>525</v>
      </c>
      <c r="F178" s="53" t="s">
        <v>526</v>
      </c>
    </row>
    <row r="179" spans="1:6">
      <c r="A179" s="54">
        <v>39873</v>
      </c>
      <c r="B179" s="55">
        <v>43.389000000000003</v>
      </c>
      <c r="C179" s="55">
        <v>25.507000000000001</v>
      </c>
      <c r="D179" s="55">
        <v>34.311999999999998</v>
      </c>
      <c r="E179" s="55" t="s">
        <v>527</v>
      </c>
      <c r="F179" s="55" t="s">
        <v>527</v>
      </c>
    </row>
    <row r="180" spans="1:6">
      <c r="A180" s="54">
        <v>39874</v>
      </c>
      <c r="B180" s="55">
        <v>32.624000000000002</v>
      </c>
      <c r="C180" s="55">
        <v>20.117000000000001</v>
      </c>
      <c r="D180" s="55">
        <v>25.626999999999999</v>
      </c>
      <c r="E180" s="55" t="s">
        <v>527</v>
      </c>
      <c r="F180" s="55" t="s">
        <v>527</v>
      </c>
    </row>
    <row r="181" spans="1:6">
      <c r="A181" s="54">
        <v>39875</v>
      </c>
      <c r="B181" s="55">
        <v>30.567</v>
      </c>
      <c r="C181" s="55">
        <v>19.393000000000001</v>
      </c>
      <c r="D181" s="55">
        <v>23.358000000000001</v>
      </c>
      <c r="E181" s="55" t="s">
        <v>527</v>
      </c>
      <c r="F181" s="55" t="s">
        <v>527</v>
      </c>
    </row>
    <row r="182" spans="1:6">
      <c r="A182" s="54">
        <v>39876</v>
      </c>
      <c r="B182" s="55">
        <v>30.405000000000001</v>
      </c>
      <c r="C182" s="55">
        <v>19.245000000000001</v>
      </c>
      <c r="D182" s="55">
        <v>23.526</v>
      </c>
      <c r="E182" s="55" t="s">
        <v>527</v>
      </c>
      <c r="F182" s="55" t="s">
        <v>527</v>
      </c>
    </row>
    <row r="183" spans="1:6">
      <c r="A183" s="54">
        <v>39877</v>
      </c>
      <c r="B183" s="55">
        <v>31.201000000000001</v>
      </c>
      <c r="C183" s="55">
        <v>19.774999999999999</v>
      </c>
      <c r="D183" s="55">
        <v>24.021000000000001</v>
      </c>
      <c r="E183" s="55" t="s">
        <v>527</v>
      </c>
      <c r="F183" s="55" t="s">
        <v>527</v>
      </c>
    </row>
    <row r="184" spans="1:6">
      <c r="A184" s="54">
        <v>39878</v>
      </c>
      <c r="B184" s="55">
        <v>43.96</v>
      </c>
      <c r="C184" s="55">
        <v>28.228999999999999</v>
      </c>
      <c r="D184" s="55">
        <v>34.811999999999998</v>
      </c>
      <c r="E184" s="55" t="s">
        <v>527</v>
      </c>
      <c r="F184" s="55" t="s">
        <v>527</v>
      </c>
    </row>
    <row r="185" spans="1:6">
      <c r="A185" s="54">
        <v>39879</v>
      </c>
      <c r="B185" s="55">
        <v>52.262999999999998</v>
      </c>
      <c r="C185" s="55">
        <v>31.148</v>
      </c>
      <c r="D185" s="55">
        <v>42.304000000000002</v>
      </c>
      <c r="E185" s="55" t="s">
        <v>527</v>
      </c>
      <c r="F185" s="55" t="s">
        <v>527</v>
      </c>
    </row>
    <row r="186" spans="1:6">
      <c r="A186" s="54">
        <v>39880</v>
      </c>
      <c r="B186" s="55">
        <v>38.654000000000003</v>
      </c>
      <c r="C186" s="55">
        <v>22.786000000000001</v>
      </c>
      <c r="D186" s="55">
        <v>31.388000000000002</v>
      </c>
      <c r="E186" s="55" t="s">
        <v>527</v>
      </c>
      <c r="F186" s="55" t="s">
        <v>527</v>
      </c>
    </row>
    <row r="187" spans="1:6">
      <c r="A187" s="54">
        <v>39881</v>
      </c>
      <c r="B187" s="55">
        <v>29.23</v>
      </c>
      <c r="C187" s="55">
        <v>18.773</v>
      </c>
      <c r="D187" s="55">
        <v>23.446000000000002</v>
      </c>
      <c r="E187" s="55" t="s">
        <v>527</v>
      </c>
      <c r="F187" s="55" t="s">
        <v>527</v>
      </c>
    </row>
    <row r="188" spans="1:6">
      <c r="A188" s="54">
        <v>39882</v>
      </c>
      <c r="B188" s="55">
        <v>29.888000000000002</v>
      </c>
      <c r="C188" s="55">
        <v>19.068999999999999</v>
      </c>
      <c r="D188" s="55">
        <v>24.183</v>
      </c>
      <c r="E188" s="55" t="s">
        <v>527</v>
      </c>
      <c r="F188" s="55" t="s">
        <v>527</v>
      </c>
    </row>
    <row r="189" spans="1:6">
      <c r="A189" s="54">
        <v>39883</v>
      </c>
      <c r="B189" s="55">
        <v>31.943000000000001</v>
      </c>
      <c r="C189" s="55">
        <v>20.321999999999999</v>
      </c>
      <c r="D189" s="55">
        <v>25.478000000000002</v>
      </c>
      <c r="E189" s="55" t="s">
        <v>527</v>
      </c>
      <c r="F189" s="55" t="s">
        <v>527</v>
      </c>
    </row>
    <row r="190" spans="1:6">
      <c r="A190" s="54">
        <v>39884</v>
      </c>
      <c r="B190" s="55">
        <v>31.878</v>
      </c>
      <c r="C190" s="55">
        <v>20.306999999999999</v>
      </c>
      <c r="D190" s="55">
        <v>24.997</v>
      </c>
      <c r="E190" s="55" t="s">
        <v>527</v>
      </c>
      <c r="F190" s="55" t="s">
        <v>527</v>
      </c>
    </row>
    <row r="191" spans="1:6">
      <c r="A191" s="54">
        <v>39885</v>
      </c>
      <c r="B191" s="55">
        <v>48.707999999999998</v>
      </c>
      <c r="C191" s="55">
        <v>30.92</v>
      </c>
      <c r="D191" s="55">
        <v>38.491</v>
      </c>
      <c r="E191" s="55" t="s">
        <v>527</v>
      </c>
      <c r="F191" s="55" t="s">
        <v>527</v>
      </c>
    </row>
    <row r="192" spans="1:6">
      <c r="A192" s="54">
        <v>39886</v>
      </c>
      <c r="B192" s="55">
        <v>58.271000000000001</v>
      </c>
      <c r="C192" s="55">
        <v>34.948</v>
      </c>
      <c r="D192" s="55">
        <v>45.337000000000003</v>
      </c>
      <c r="E192" s="55" t="s">
        <v>527</v>
      </c>
      <c r="F192" s="55" t="s">
        <v>527</v>
      </c>
    </row>
    <row r="193" spans="1:6">
      <c r="A193" s="54">
        <v>39887</v>
      </c>
      <c r="B193" s="55">
        <v>42.994</v>
      </c>
      <c r="C193" s="55">
        <v>25.577999999999999</v>
      </c>
      <c r="D193" s="55">
        <v>33.875999999999998</v>
      </c>
      <c r="E193" s="55" t="s">
        <v>527</v>
      </c>
      <c r="F193" s="55" t="s">
        <v>527</v>
      </c>
    </row>
    <row r="194" spans="1:6">
      <c r="A194" s="54">
        <v>39888</v>
      </c>
      <c r="B194" s="55">
        <v>30.581</v>
      </c>
      <c r="C194" s="55">
        <v>19.257000000000001</v>
      </c>
      <c r="D194" s="55">
        <v>23.759</v>
      </c>
      <c r="E194" s="55" t="s">
        <v>527</v>
      </c>
      <c r="F194" s="55" t="s">
        <v>527</v>
      </c>
    </row>
    <row r="195" spans="1:6">
      <c r="A195" s="54">
        <v>39889</v>
      </c>
      <c r="B195" s="55">
        <v>30.117999999999999</v>
      </c>
      <c r="C195" s="55">
        <v>18.678000000000001</v>
      </c>
      <c r="D195" s="55">
        <v>23.837</v>
      </c>
      <c r="E195" s="55" t="s">
        <v>527</v>
      </c>
      <c r="F195" s="55" t="s">
        <v>527</v>
      </c>
    </row>
    <row r="196" spans="1:6">
      <c r="A196" s="54">
        <v>39890</v>
      </c>
      <c r="B196" s="55">
        <v>29.446000000000002</v>
      </c>
      <c r="C196" s="55">
        <v>18.431000000000001</v>
      </c>
      <c r="D196" s="55">
        <v>23.305</v>
      </c>
      <c r="E196" s="55" t="s">
        <v>527</v>
      </c>
      <c r="F196" s="55" t="s">
        <v>527</v>
      </c>
    </row>
    <row r="197" spans="1:6">
      <c r="A197" s="54">
        <v>39891</v>
      </c>
      <c r="B197" s="55">
        <v>30.501000000000001</v>
      </c>
      <c r="C197" s="55">
        <v>19.064</v>
      </c>
      <c r="D197" s="55">
        <v>24.222000000000001</v>
      </c>
      <c r="E197" s="55" t="s">
        <v>527</v>
      </c>
      <c r="F197" s="55" t="s">
        <v>527</v>
      </c>
    </row>
    <row r="198" spans="1:6">
      <c r="A198" s="54">
        <v>39892</v>
      </c>
      <c r="B198" s="55">
        <v>41.636000000000003</v>
      </c>
      <c r="C198" s="55">
        <v>25.876000000000001</v>
      </c>
      <c r="D198" s="55">
        <v>32.972999999999999</v>
      </c>
      <c r="E198" s="55" t="s">
        <v>527</v>
      </c>
      <c r="F198" s="55" t="s">
        <v>527</v>
      </c>
    </row>
    <row r="199" spans="1:6">
      <c r="A199" s="54">
        <v>39893</v>
      </c>
      <c r="B199" s="55">
        <v>49.222999999999999</v>
      </c>
      <c r="C199" s="55">
        <v>28.664000000000001</v>
      </c>
      <c r="D199" s="55">
        <v>38.814999999999998</v>
      </c>
      <c r="E199" s="55" t="s">
        <v>527</v>
      </c>
      <c r="F199" s="55" t="s">
        <v>527</v>
      </c>
    </row>
    <row r="200" spans="1:6">
      <c r="A200" s="54">
        <v>39894</v>
      </c>
      <c r="B200" s="55">
        <v>37.871000000000002</v>
      </c>
      <c r="C200" s="55">
        <v>21.966000000000001</v>
      </c>
      <c r="D200" s="55">
        <v>29.439</v>
      </c>
      <c r="E200" s="55" t="s">
        <v>527</v>
      </c>
      <c r="F200" s="55" t="s">
        <v>527</v>
      </c>
    </row>
    <row r="201" spans="1:6">
      <c r="A201" s="54">
        <v>39895</v>
      </c>
      <c r="B201" s="55">
        <v>29.152999999999999</v>
      </c>
      <c r="C201" s="55">
        <v>18.303999999999998</v>
      </c>
      <c r="D201" s="55">
        <v>22.882999999999999</v>
      </c>
      <c r="E201" s="55" t="s">
        <v>527</v>
      </c>
      <c r="F201" s="55" t="s">
        <v>527</v>
      </c>
    </row>
    <row r="202" spans="1:6">
      <c r="A202" s="54">
        <v>39896</v>
      </c>
      <c r="B202" s="55">
        <v>30.234999999999999</v>
      </c>
      <c r="C202" s="55">
        <v>18.709</v>
      </c>
      <c r="D202" s="55">
        <v>24.285</v>
      </c>
      <c r="E202" s="55" t="s">
        <v>527</v>
      </c>
      <c r="F202" s="55" t="s">
        <v>527</v>
      </c>
    </row>
    <row r="203" spans="1:6">
      <c r="A203" s="54">
        <v>39897</v>
      </c>
      <c r="B203" s="55">
        <v>31.151</v>
      </c>
      <c r="C203" s="55">
        <v>19.265999999999998</v>
      </c>
      <c r="D203" s="55">
        <v>24.754000000000001</v>
      </c>
      <c r="E203" s="55" t="s">
        <v>527</v>
      </c>
      <c r="F203" s="55" t="s">
        <v>527</v>
      </c>
    </row>
    <row r="204" spans="1:6">
      <c r="A204" s="54">
        <v>39898</v>
      </c>
      <c r="B204" s="55">
        <v>31.468</v>
      </c>
      <c r="C204" s="55">
        <v>19.521000000000001</v>
      </c>
      <c r="D204" s="55">
        <v>24.46</v>
      </c>
      <c r="E204" s="55" t="s">
        <v>527</v>
      </c>
      <c r="F204" s="55" t="s">
        <v>527</v>
      </c>
    </row>
    <row r="205" spans="1:6">
      <c r="A205" s="54">
        <v>39899</v>
      </c>
      <c r="B205" s="55">
        <v>42.179000000000002</v>
      </c>
      <c r="C205" s="55">
        <v>25.734000000000002</v>
      </c>
      <c r="D205" s="55">
        <v>33.593000000000004</v>
      </c>
      <c r="E205" s="55" t="s">
        <v>527</v>
      </c>
      <c r="F205" s="55" t="s">
        <v>527</v>
      </c>
    </row>
    <row r="206" spans="1:6">
      <c r="A206" s="54">
        <v>39900</v>
      </c>
      <c r="B206" s="55">
        <v>47.932000000000002</v>
      </c>
      <c r="C206" s="55">
        <v>27.893999999999998</v>
      </c>
      <c r="D206" s="55">
        <v>38.569000000000003</v>
      </c>
      <c r="E206" s="55" t="s">
        <v>527</v>
      </c>
      <c r="F206" s="55" t="s">
        <v>527</v>
      </c>
    </row>
    <row r="207" spans="1:6">
      <c r="A207" s="54">
        <v>39901</v>
      </c>
      <c r="B207" s="55">
        <v>37.380000000000003</v>
      </c>
      <c r="C207" s="55">
        <v>21.533000000000001</v>
      </c>
      <c r="D207" s="55">
        <v>29.866</v>
      </c>
      <c r="E207" s="55" t="s">
        <v>527</v>
      </c>
      <c r="F207" s="55" t="s">
        <v>527</v>
      </c>
    </row>
    <row r="208" spans="1:6">
      <c r="A208" s="54">
        <v>39902</v>
      </c>
      <c r="B208" s="55">
        <v>28.986999999999998</v>
      </c>
      <c r="C208" s="55">
        <v>17.3</v>
      </c>
      <c r="D208" s="55">
        <v>21.577000000000002</v>
      </c>
      <c r="E208" s="55" t="s">
        <v>527</v>
      </c>
      <c r="F208" s="55" t="s">
        <v>527</v>
      </c>
    </row>
    <row r="209" spans="1:6">
      <c r="A209" s="54">
        <v>39903</v>
      </c>
      <c r="B209" s="55">
        <v>28.2</v>
      </c>
      <c r="C209" s="55">
        <v>17.459</v>
      </c>
      <c r="D209" s="55">
        <v>22.116</v>
      </c>
      <c r="E209" s="55" t="s">
        <v>527</v>
      </c>
      <c r="F209" s="55" t="s">
        <v>527</v>
      </c>
    </row>
    <row r="210" spans="1:6">
      <c r="A210" s="56"/>
    </row>
    <row r="211" spans="1:6">
      <c r="A211" s="57" t="s">
        <v>541</v>
      </c>
    </row>
    <row r="212" spans="1:6">
      <c r="A212" s="57" t="s">
        <v>529</v>
      </c>
    </row>
    <row r="213" spans="1:6" ht="18">
      <c r="A213" s="58">
        <v>808.85900000000004</v>
      </c>
    </row>
    <row r="214" spans="1:6">
      <c r="A214" s="57" t="s">
        <v>531</v>
      </c>
    </row>
    <row r="215" spans="1:6">
      <c r="A215" s="59">
        <v>410.72899999999998</v>
      </c>
    </row>
    <row r="216" spans="1:6">
      <c r="A216" s="57" t="s">
        <v>533</v>
      </c>
    </row>
    <row r="217" spans="1:6">
      <c r="A217" s="60">
        <v>35431</v>
      </c>
    </row>
    <row r="218" spans="1:6">
      <c r="A218" s="61"/>
    </row>
    <row r="219" spans="1:6" ht="30">
      <c r="A219" s="52" t="s">
        <v>521</v>
      </c>
      <c r="B219" s="52" t="s">
        <v>522</v>
      </c>
      <c r="C219" s="52" t="s">
        <v>523</v>
      </c>
      <c r="D219" s="53" t="s">
        <v>524</v>
      </c>
      <c r="E219" s="53" t="s">
        <v>525</v>
      </c>
      <c r="F219" s="53" t="s">
        <v>526</v>
      </c>
    </row>
    <row r="220" spans="1:6">
      <c r="A220" s="54">
        <v>39904</v>
      </c>
      <c r="B220" s="55">
        <v>27.843</v>
      </c>
      <c r="C220" s="55">
        <v>16.911000000000001</v>
      </c>
      <c r="D220" s="55">
        <v>22.103999999999999</v>
      </c>
      <c r="E220" s="55" t="s">
        <v>527</v>
      </c>
      <c r="F220" s="55" t="s">
        <v>527</v>
      </c>
    </row>
    <row r="221" spans="1:6">
      <c r="A221" s="54">
        <v>39905</v>
      </c>
      <c r="B221" s="55">
        <v>32.115000000000002</v>
      </c>
      <c r="C221" s="55">
        <v>18.166</v>
      </c>
      <c r="D221" s="55">
        <v>23.503</v>
      </c>
      <c r="E221" s="55" t="s">
        <v>527</v>
      </c>
      <c r="F221" s="55" t="s">
        <v>527</v>
      </c>
    </row>
    <row r="222" spans="1:6">
      <c r="A222" s="54">
        <v>39906</v>
      </c>
      <c r="B222" s="55">
        <v>40.673999999999999</v>
      </c>
      <c r="C222" s="55">
        <v>24.26</v>
      </c>
      <c r="D222" s="55">
        <v>31.917000000000002</v>
      </c>
      <c r="E222" s="55" t="s">
        <v>527</v>
      </c>
      <c r="F222" s="55" t="s">
        <v>527</v>
      </c>
    </row>
    <row r="223" spans="1:6">
      <c r="A223" s="54">
        <v>39907</v>
      </c>
      <c r="B223" s="55">
        <v>45.902000000000001</v>
      </c>
      <c r="C223" s="55">
        <v>26.48</v>
      </c>
      <c r="D223" s="55">
        <v>37.119</v>
      </c>
      <c r="E223" s="55" t="s">
        <v>527</v>
      </c>
      <c r="F223" s="55" t="s">
        <v>527</v>
      </c>
    </row>
    <row r="224" spans="1:6">
      <c r="A224" s="54">
        <v>39908</v>
      </c>
      <c r="B224" s="55">
        <v>39.173999999999999</v>
      </c>
      <c r="C224" s="55">
        <v>22.881</v>
      </c>
      <c r="D224" s="55">
        <v>31.568000000000001</v>
      </c>
      <c r="E224" s="55" t="s">
        <v>527</v>
      </c>
      <c r="F224" s="55" t="s">
        <v>527</v>
      </c>
    </row>
    <row r="225" spans="1:6">
      <c r="A225" s="54">
        <v>39909</v>
      </c>
      <c r="B225" s="55">
        <v>32.097000000000001</v>
      </c>
      <c r="C225" s="55">
        <v>19.300999999999998</v>
      </c>
      <c r="D225" s="55">
        <v>25.393000000000001</v>
      </c>
      <c r="E225" s="55" t="s">
        <v>527</v>
      </c>
      <c r="F225" s="55" t="s">
        <v>527</v>
      </c>
    </row>
    <row r="226" spans="1:6">
      <c r="A226" s="54">
        <v>39910</v>
      </c>
      <c r="B226" s="55">
        <v>32.613999999999997</v>
      </c>
      <c r="C226" s="55">
        <v>19.196000000000002</v>
      </c>
      <c r="D226" s="55">
        <v>25.98</v>
      </c>
      <c r="E226" s="55" t="s">
        <v>527</v>
      </c>
      <c r="F226" s="55" t="s">
        <v>527</v>
      </c>
    </row>
    <row r="227" spans="1:6">
      <c r="A227" s="54">
        <v>39911</v>
      </c>
      <c r="B227" s="55">
        <v>33.308999999999997</v>
      </c>
      <c r="C227" s="55">
        <v>20.081</v>
      </c>
      <c r="D227" s="55">
        <v>26.614000000000001</v>
      </c>
      <c r="E227" s="55" t="s">
        <v>527</v>
      </c>
      <c r="F227" s="55" t="s">
        <v>527</v>
      </c>
    </row>
    <row r="228" spans="1:6">
      <c r="A228" s="54">
        <v>39912</v>
      </c>
      <c r="B228" s="55">
        <v>35.948</v>
      </c>
      <c r="C228" s="55">
        <v>21.4</v>
      </c>
      <c r="D228" s="55">
        <v>28.911000000000001</v>
      </c>
      <c r="E228" s="55" t="s">
        <v>527</v>
      </c>
      <c r="F228" s="55" t="s">
        <v>527</v>
      </c>
    </row>
    <row r="229" spans="1:6">
      <c r="A229" s="54">
        <v>39913</v>
      </c>
      <c r="B229" s="55">
        <v>42.167000000000002</v>
      </c>
      <c r="C229" s="55">
        <v>24.443999999999999</v>
      </c>
      <c r="D229" s="55">
        <v>34.598999999999997</v>
      </c>
      <c r="E229" s="55" t="s">
        <v>527</v>
      </c>
      <c r="F229" s="55" t="s">
        <v>527</v>
      </c>
    </row>
    <row r="230" spans="1:6">
      <c r="A230" s="54">
        <v>39914</v>
      </c>
      <c r="B230" s="55">
        <v>40.875</v>
      </c>
      <c r="C230" s="55">
        <v>23.760999999999999</v>
      </c>
      <c r="D230" s="55">
        <v>34.024000000000001</v>
      </c>
      <c r="E230" s="55" t="s">
        <v>527</v>
      </c>
      <c r="F230" s="55" t="s">
        <v>527</v>
      </c>
    </row>
    <row r="231" spans="1:6">
      <c r="A231" s="54">
        <v>39915</v>
      </c>
      <c r="B231" s="55">
        <v>34.487000000000002</v>
      </c>
      <c r="C231" s="55">
        <v>19.847999999999999</v>
      </c>
      <c r="D231" s="55">
        <v>28.725000000000001</v>
      </c>
      <c r="E231" s="55" t="s">
        <v>527</v>
      </c>
      <c r="F231" s="55" t="s">
        <v>527</v>
      </c>
    </row>
    <row r="232" spans="1:6">
      <c r="A232" s="54">
        <v>39916</v>
      </c>
      <c r="B232" s="55">
        <v>31.998000000000001</v>
      </c>
      <c r="C232" s="55">
        <v>19.224</v>
      </c>
      <c r="D232" s="55">
        <v>26.056999999999999</v>
      </c>
      <c r="E232" s="55" t="s">
        <v>527</v>
      </c>
      <c r="F232" s="55" t="s">
        <v>527</v>
      </c>
    </row>
    <row r="233" spans="1:6">
      <c r="A233" s="54">
        <v>39917</v>
      </c>
      <c r="B233" s="55">
        <v>31.399000000000001</v>
      </c>
      <c r="C233" s="55">
        <v>18.632000000000001</v>
      </c>
      <c r="D233" s="55">
        <v>25.64</v>
      </c>
      <c r="E233" s="55" t="s">
        <v>527</v>
      </c>
      <c r="F233" s="55" t="s">
        <v>527</v>
      </c>
    </row>
    <row r="234" spans="1:6">
      <c r="A234" s="54">
        <v>39918</v>
      </c>
      <c r="B234" s="55">
        <v>30.224</v>
      </c>
      <c r="C234" s="55">
        <v>17.782</v>
      </c>
      <c r="D234" s="55">
        <v>25.12</v>
      </c>
      <c r="E234" s="55" t="s">
        <v>527</v>
      </c>
      <c r="F234" s="55" t="s">
        <v>527</v>
      </c>
    </row>
    <row r="235" spans="1:6">
      <c r="A235" s="54">
        <v>39919</v>
      </c>
      <c r="B235" s="55">
        <v>30.303999999999998</v>
      </c>
      <c r="C235" s="55">
        <v>17.928999999999998</v>
      </c>
      <c r="D235" s="55">
        <v>24.882000000000001</v>
      </c>
      <c r="E235" s="55" t="s">
        <v>527</v>
      </c>
      <c r="F235" s="55" t="s">
        <v>527</v>
      </c>
    </row>
    <row r="236" spans="1:6">
      <c r="A236" s="54">
        <v>39920</v>
      </c>
      <c r="B236" s="55">
        <v>38.249000000000002</v>
      </c>
      <c r="C236" s="55">
        <v>23.221</v>
      </c>
      <c r="D236" s="55">
        <v>31.545999999999999</v>
      </c>
      <c r="E236" s="55" t="s">
        <v>527</v>
      </c>
      <c r="F236" s="55" t="s">
        <v>527</v>
      </c>
    </row>
    <row r="237" spans="1:6">
      <c r="A237" s="54">
        <v>39921</v>
      </c>
      <c r="B237" s="55">
        <v>42.281999999999996</v>
      </c>
      <c r="C237" s="55">
        <v>24.785</v>
      </c>
      <c r="D237" s="55">
        <v>34.366</v>
      </c>
      <c r="E237" s="55" t="s">
        <v>527</v>
      </c>
      <c r="F237" s="55" t="s">
        <v>527</v>
      </c>
    </row>
    <row r="238" spans="1:6">
      <c r="A238" s="54">
        <v>39922</v>
      </c>
      <c r="B238" s="55">
        <v>34.087000000000003</v>
      </c>
      <c r="C238" s="55">
        <v>19.396000000000001</v>
      </c>
      <c r="D238" s="55">
        <v>27.172999999999998</v>
      </c>
      <c r="E238" s="55" t="s">
        <v>527</v>
      </c>
      <c r="F238" s="55" t="s">
        <v>527</v>
      </c>
    </row>
    <row r="239" spans="1:6">
      <c r="A239" s="54">
        <v>39923</v>
      </c>
      <c r="B239" s="55">
        <v>25.992999999999999</v>
      </c>
      <c r="C239" s="55">
        <v>16.082000000000001</v>
      </c>
      <c r="D239" s="55">
        <v>19.538</v>
      </c>
      <c r="E239" s="55" t="s">
        <v>527</v>
      </c>
      <c r="F239" s="55" t="s">
        <v>527</v>
      </c>
    </row>
    <row r="240" spans="1:6">
      <c r="A240" s="54">
        <v>39924</v>
      </c>
      <c r="B240" s="55">
        <v>26.129000000000001</v>
      </c>
      <c r="C240" s="55">
        <v>16.029</v>
      </c>
      <c r="D240" s="55">
        <v>18.998999999999999</v>
      </c>
      <c r="E240" s="55" t="s">
        <v>527</v>
      </c>
      <c r="F240" s="55" t="s">
        <v>527</v>
      </c>
    </row>
    <row r="241" spans="1:6">
      <c r="A241" s="54">
        <v>39925</v>
      </c>
      <c r="B241" s="55">
        <v>26.431000000000001</v>
      </c>
      <c r="C241" s="55">
        <v>16.305</v>
      </c>
      <c r="D241" s="55">
        <v>20.882999999999999</v>
      </c>
      <c r="E241" s="55" t="s">
        <v>527</v>
      </c>
      <c r="F241" s="55" t="s">
        <v>527</v>
      </c>
    </row>
    <row r="242" spans="1:6">
      <c r="A242" s="54">
        <v>39926</v>
      </c>
      <c r="B242" s="55">
        <v>27.937999999999999</v>
      </c>
      <c r="C242" s="55">
        <v>16.956</v>
      </c>
      <c r="D242" s="55">
        <v>22.010999999999999</v>
      </c>
      <c r="E242" s="55" t="s">
        <v>527</v>
      </c>
      <c r="F242" s="55" t="s">
        <v>527</v>
      </c>
    </row>
    <row r="243" spans="1:6">
      <c r="A243" s="54">
        <v>39927</v>
      </c>
      <c r="B243" s="55">
        <v>36.505000000000003</v>
      </c>
      <c r="C243" s="55">
        <v>22.257999999999999</v>
      </c>
      <c r="D243" s="55">
        <v>29.166</v>
      </c>
      <c r="E243" s="55" t="s">
        <v>527</v>
      </c>
      <c r="F243" s="55" t="s">
        <v>527</v>
      </c>
    </row>
    <row r="244" spans="1:6">
      <c r="A244" s="54">
        <v>39928</v>
      </c>
      <c r="B244" s="55">
        <v>41.356999999999999</v>
      </c>
      <c r="C244" s="55">
        <v>24.268000000000001</v>
      </c>
      <c r="D244" s="55">
        <v>33.74</v>
      </c>
      <c r="E244" s="55" t="s">
        <v>527</v>
      </c>
      <c r="F244" s="55" t="s">
        <v>527</v>
      </c>
    </row>
    <row r="245" spans="1:6">
      <c r="A245" s="54">
        <v>39929</v>
      </c>
      <c r="B245" s="55">
        <v>33.512999999999998</v>
      </c>
      <c r="C245" s="55">
        <v>19.381</v>
      </c>
      <c r="D245" s="55">
        <v>27.157</v>
      </c>
      <c r="E245" s="55" t="s">
        <v>527</v>
      </c>
      <c r="F245" s="55" t="s">
        <v>527</v>
      </c>
    </row>
    <row r="246" spans="1:6">
      <c r="A246" s="54">
        <v>39930</v>
      </c>
      <c r="B246" s="55">
        <v>25.652000000000001</v>
      </c>
      <c r="C246" s="55">
        <v>16.085999999999999</v>
      </c>
      <c r="D246" s="55">
        <v>20.331</v>
      </c>
      <c r="E246" s="55" t="s">
        <v>527</v>
      </c>
      <c r="F246" s="55" t="s">
        <v>527</v>
      </c>
    </row>
    <row r="247" spans="1:6">
      <c r="A247" s="54">
        <v>39931</v>
      </c>
      <c r="B247" s="55">
        <v>26.318000000000001</v>
      </c>
      <c r="C247" s="55">
        <v>16.318000000000001</v>
      </c>
      <c r="D247" s="55">
        <v>21.471</v>
      </c>
      <c r="E247" s="55" t="s">
        <v>527</v>
      </c>
      <c r="F247" s="55" t="s">
        <v>527</v>
      </c>
    </row>
    <row r="248" spans="1:6">
      <c r="A248" s="54">
        <v>39932</v>
      </c>
      <c r="B248" s="55">
        <v>28.096</v>
      </c>
      <c r="C248" s="55">
        <v>17.471</v>
      </c>
      <c r="D248" s="55">
        <v>22.677</v>
      </c>
      <c r="E248" s="55" t="s">
        <v>527</v>
      </c>
      <c r="F248" s="55" t="s">
        <v>527</v>
      </c>
    </row>
    <row r="249" spans="1:6">
      <c r="A249" s="54">
        <v>39933</v>
      </c>
      <c r="B249" s="55">
        <v>34.084000000000003</v>
      </c>
      <c r="C249" s="55">
        <v>21.218</v>
      </c>
      <c r="D249" s="55">
        <v>27.645</v>
      </c>
      <c r="E249" s="55" t="s">
        <v>527</v>
      </c>
      <c r="F249" s="55" t="s">
        <v>527</v>
      </c>
    </row>
    <row r="250" spans="1:6">
      <c r="A250" s="56"/>
    </row>
    <row r="251" spans="1:6">
      <c r="A251" s="57" t="s">
        <v>542</v>
      </c>
    </row>
    <row r="252" spans="1:6">
      <c r="A252" s="57" t="s">
        <v>529</v>
      </c>
    </row>
    <row r="253" spans="1:6" ht="18">
      <c r="A253" s="58">
        <v>823.76</v>
      </c>
    </row>
    <row r="254" spans="1:6">
      <c r="A254" s="57" t="s">
        <v>531</v>
      </c>
    </row>
    <row r="255" spans="1:6">
      <c r="A255" s="59">
        <v>426.69499999999999</v>
      </c>
    </row>
    <row r="256" spans="1:6">
      <c r="A256" s="57" t="s">
        <v>533</v>
      </c>
    </row>
    <row r="257" spans="1:6">
      <c r="A257" s="60">
        <v>33970</v>
      </c>
    </row>
    <row r="258" spans="1:6">
      <c r="A258" s="61"/>
    </row>
    <row r="259" spans="1:6" ht="30">
      <c r="A259" s="52" t="s">
        <v>521</v>
      </c>
      <c r="B259" s="52" t="s">
        <v>522</v>
      </c>
      <c r="C259" s="52" t="s">
        <v>523</v>
      </c>
      <c r="D259" s="53" t="s">
        <v>524</v>
      </c>
      <c r="E259" s="53" t="s">
        <v>525</v>
      </c>
      <c r="F259" s="53" t="s">
        <v>526</v>
      </c>
    </row>
    <row r="260" spans="1:6">
      <c r="A260" s="54">
        <v>39934</v>
      </c>
      <c r="B260" s="55">
        <v>39.085999999999999</v>
      </c>
      <c r="C260" s="55">
        <v>23.829000000000001</v>
      </c>
      <c r="D260" s="55">
        <v>31.459</v>
      </c>
      <c r="E260" s="55" t="s">
        <v>527</v>
      </c>
      <c r="F260" s="55" t="s">
        <v>527</v>
      </c>
    </row>
    <row r="261" spans="1:6">
      <c r="A261" s="54">
        <v>39935</v>
      </c>
      <c r="B261" s="55">
        <v>43.386000000000003</v>
      </c>
      <c r="C261" s="55">
        <v>25.068999999999999</v>
      </c>
      <c r="D261" s="55">
        <v>34.853000000000002</v>
      </c>
      <c r="E261" s="55" t="s">
        <v>527</v>
      </c>
      <c r="F261" s="55" t="s">
        <v>527</v>
      </c>
    </row>
    <row r="262" spans="1:6">
      <c r="A262" s="54">
        <v>39936</v>
      </c>
      <c r="B262" s="55">
        <v>34.103999999999999</v>
      </c>
      <c r="C262" s="55">
        <v>19.715</v>
      </c>
      <c r="D262" s="55">
        <v>27.422000000000001</v>
      </c>
      <c r="E262" s="55" t="s">
        <v>527</v>
      </c>
      <c r="F262" s="55" t="s">
        <v>527</v>
      </c>
    </row>
    <row r="263" spans="1:6">
      <c r="A263" s="54">
        <v>39937</v>
      </c>
      <c r="B263" s="55">
        <v>27.431999999999999</v>
      </c>
      <c r="C263" s="55">
        <v>16.885000000000002</v>
      </c>
      <c r="D263" s="55">
        <v>21.760999999999999</v>
      </c>
      <c r="E263" s="55" t="s">
        <v>527</v>
      </c>
      <c r="F263" s="55" t="s">
        <v>527</v>
      </c>
    </row>
    <row r="264" spans="1:6">
      <c r="A264" s="54">
        <v>39938</v>
      </c>
      <c r="B264" s="55">
        <v>26.802</v>
      </c>
      <c r="C264" s="55">
        <v>16.824000000000002</v>
      </c>
      <c r="D264" s="55">
        <v>21.236000000000001</v>
      </c>
      <c r="E264" s="55" t="s">
        <v>527</v>
      </c>
      <c r="F264" s="55" t="s">
        <v>527</v>
      </c>
    </row>
    <row r="265" spans="1:6">
      <c r="A265" s="54">
        <v>39939</v>
      </c>
      <c r="B265" s="55">
        <v>27.132999999999999</v>
      </c>
      <c r="C265" s="55">
        <v>17.079999999999998</v>
      </c>
      <c r="D265" s="55">
        <v>21.385000000000002</v>
      </c>
      <c r="E265" s="55" t="s">
        <v>527</v>
      </c>
      <c r="F265" s="55" t="s">
        <v>527</v>
      </c>
    </row>
    <row r="266" spans="1:6">
      <c r="A266" s="54">
        <v>39940</v>
      </c>
      <c r="B266" s="55">
        <v>27.516999999999999</v>
      </c>
      <c r="C266" s="55">
        <v>17.178999999999998</v>
      </c>
      <c r="D266" s="55">
        <v>21.861999999999998</v>
      </c>
      <c r="E266" s="55" t="s">
        <v>527</v>
      </c>
      <c r="F266" s="55" t="s">
        <v>527</v>
      </c>
    </row>
    <row r="267" spans="1:6">
      <c r="A267" s="54">
        <v>39941</v>
      </c>
      <c r="B267" s="55">
        <v>37.692</v>
      </c>
      <c r="C267" s="55">
        <v>23.638000000000002</v>
      </c>
      <c r="D267" s="55">
        <v>30.420999999999999</v>
      </c>
      <c r="E267" s="55" t="s">
        <v>527</v>
      </c>
      <c r="F267" s="55" t="s">
        <v>527</v>
      </c>
    </row>
    <row r="268" spans="1:6">
      <c r="A268" s="54">
        <v>39942</v>
      </c>
      <c r="B268" s="55">
        <v>42.948999999999998</v>
      </c>
      <c r="C268" s="55">
        <v>25.475999999999999</v>
      </c>
      <c r="D268" s="55">
        <v>34.685000000000002</v>
      </c>
      <c r="E268" s="55" t="s">
        <v>527</v>
      </c>
      <c r="F268" s="55" t="s">
        <v>527</v>
      </c>
    </row>
    <row r="269" spans="1:6">
      <c r="A269" s="54">
        <v>39943</v>
      </c>
      <c r="B269" s="55">
        <v>33.216000000000001</v>
      </c>
      <c r="C269" s="55">
        <v>19.318000000000001</v>
      </c>
      <c r="D269" s="55">
        <v>26.512</v>
      </c>
      <c r="E269" s="55" t="s">
        <v>527</v>
      </c>
      <c r="F269" s="55" t="s">
        <v>527</v>
      </c>
    </row>
    <row r="270" spans="1:6">
      <c r="A270" s="54">
        <v>39944</v>
      </c>
      <c r="B270" s="55">
        <v>25.882999999999999</v>
      </c>
      <c r="C270" s="55">
        <v>16.085999999999999</v>
      </c>
      <c r="D270" s="55">
        <v>20.253</v>
      </c>
      <c r="E270" s="55" t="s">
        <v>527</v>
      </c>
      <c r="F270" s="55" t="s">
        <v>527</v>
      </c>
    </row>
    <row r="271" spans="1:6">
      <c r="A271" s="54">
        <v>39945</v>
      </c>
      <c r="B271" s="55">
        <v>25.132999999999999</v>
      </c>
      <c r="C271" s="55">
        <v>16.068000000000001</v>
      </c>
      <c r="D271" s="55">
        <v>19.948</v>
      </c>
      <c r="E271" s="55" t="s">
        <v>527</v>
      </c>
      <c r="F271" s="55" t="s">
        <v>527</v>
      </c>
    </row>
    <row r="272" spans="1:6">
      <c r="A272" s="54">
        <v>39946</v>
      </c>
      <c r="B272" s="55">
        <v>27.213999999999999</v>
      </c>
      <c r="C272" s="55">
        <v>16.873999999999999</v>
      </c>
      <c r="D272" s="55">
        <v>21.457999999999998</v>
      </c>
      <c r="E272" s="55" t="s">
        <v>527</v>
      </c>
      <c r="F272" s="55" t="s">
        <v>527</v>
      </c>
    </row>
    <row r="273" spans="1:6">
      <c r="A273" s="54">
        <v>39947</v>
      </c>
      <c r="B273" s="55">
        <v>27.318999999999999</v>
      </c>
      <c r="C273" s="55">
        <v>16.934999999999999</v>
      </c>
      <c r="D273" s="55">
        <v>21.315999999999999</v>
      </c>
      <c r="E273" s="55" t="s">
        <v>527</v>
      </c>
      <c r="F273" s="55" t="s">
        <v>527</v>
      </c>
    </row>
    <row r="274" spans="1:6">
      <c r="A274" s="54">
        <v>39948</v>
      </c>
      <c r="B274" s="55">
        <v>36.47</v>
      </c>
      <c r="C274" s="55">
        <v>22.614000000000001</v>
      </c>
      <c r="D274" s="55">
        <v>29.481999999999999</v>
      </c>
      <c r="E274" s="55" t="s">
        <v>527</v>
      </c>
      <c r="F274" s="55" t="s">
        <v>527</v>
      </c>
    </row>
    <row r="275" spans="1:6">
      <c r="A275" s="54">
        <v>39949</v>
      </c>
      <c r="B275" s="55">
        <v>42.768999999999998</v>
      </c>
      <c r="C275" s="55">
        <v>25.149000000000001</v>
      </c>
      <c r="D275" s="55">
        <v>34.953000000000003</v>
      </c>
      <c r="E275" s="55" t="s">
        <v>527</v>
      </c>
      <c r="F275" s="55" t="s">
        <v>527</v>
      </c>
    </row>
    <row r="276" spans="1:6">
      <c r="A276" s="54">
        <v>39950</v>
      </c>
      <c r="B276" s="55">
        <v>34.079000000000001</v>
      </c>
      <c r="C276" s="55">
        <v>19.634</v>
      </c>
      <c r="D276" s="55">
        <v>27.931999999999999</v>
      </c>
      <c r="E276" s="55" t="s">
        <v>527</v>
      </c>
      <c r="F276" s="55" t="s">
        <v>527</v>
      </c>
    </row>
    <row r="277" spans="1:6">
      <c r="A277" s="54">
        <v>39951</v>
      </c>
      <c r="B277" s="55">
        <v>26.295000000000002</v>
      </c>
      <c r="C277" s="55">
        <v>16.32</v>
      </c>
      <c r="D277" s="55">
        <v>21.221</v>
      </c>
      <c r="E277" s="55" t="s">
        <v>527</v>
      </c>
      <c r="F277" s="55" t="s">
        <v>527</v>
      </c>
    </row>
    <row r="278" spans="1:6">
      <c r="A278" s="54">
        <v>39952</v>
      </c>
      <c r="B278" s="55">
        <v>27.207000000000001</v>
      </c>
      <c r="C278" s="55">
        <v>16.975999999999999</v>
      </c>
      <c r="D278" s="55">
        <v>21.928999999999998</v>
      </c>
      <c r="E278" s="55" t="s">
        <v>527</v>
      </c>
      <c r="F278" s="55" t="s">
        <v>527</v>
      </c>
    </row>
    <row r="279" spans="1:6">
      <c r="A279" s="54">
        <v>39953</v>
      </c>
      <c r="B279" s="55">
        <v>28.407</v>
      </c>
      <c r="C279" s="55">
        <v>17.489000000000001</v>
      </c>
      <c r="D279" s="55">
        <v>22.289000000000001</v>
      </c>
      <c r="E279" s="55" t="s">
        <v>527</v>
      </c>
      <c r="F279" s="55" t="s">
        <v>527</v>
      </c>
    </row>
    <row r="280" spans="1:6">
      <c r="A280" s="54">
        <v>39954</v>
      </c>
      <c r="B280" s="55">
        <v>28.869</v>
      </c>
      <c r="C280" s="55">
        <v>17.798999999999999</v>
      </c>
      <c r="D280" s="55">
        <v>22.669</v>
      </c>
      <c r="E280" s="55" t="s">
        <v>527</v>
      </c>
      <c r="F280" s="55" t="s">
        <v>527</v>
      </c>
    </row>
    <row r="281" spans="1:6">
      <c r="A281" s="54">
        <v>39955</v>
      </c>
      <c r="B281" s="55">
        <v>37.258000000000003</v>
      </c>
      <c r="C281" s="55">
        <v>22.861999999999998</v>
      </c>
      <c r="D281" s="55">
        <v>29.721</v>
      </c>
      <c r="E281" s="55" t="s">
        <v>527</v>
      </c>
      <c r="F281" s="55" t="s">
        <v>527</v>
      </c>
    </row>
    <row r="282" spans="1:6">
      <c r="A282" s="54">
        <v>39956</v>
      </c>
      <c r="B282" s="55">
        <v>40.982999999999997</v>
      </c>
      <c r="C282" s="55">
        <v>23.808</v>
      </c>
      <c r="D282" s="55">
        <v>33.508000000000003</v>
      </c>
      <c r="E282" s="55" t="s">
        <v>527</v>
      </c>
      <c r="F282" s="55" t="s">
        <v>527</v>
      </c>
    </row>
    <row r="283" spans="1:6">
      <c r="A283" s="54">
        <v>39957</v>
      </c>
      <c r="B283" s="55">
        <v>33.901000000000003</v>
      </c>
      <c r="C283" s="55">
        <v>19.946999999999999</v>
      </c>
      <c r="D283" s="55">
        <v>27.581</v>
      </c>
      <c r="E283" s="55" t="s">
        <v>527</v>
      </c>
      <c r="F283" s="55" t="s">
        <v>527</v>
      </c>
    </row>
    <row r="284" spans="1:6">
      <c r="A284" s="54">
        <v>39958</v>
      </c>
      <c r="B284" s="55">
        <v>31.408999999999999</v>
      </c>
      <c r="C284" s="55">
        <v>18.914999999999999</v>
      </c>
      <c r="D284" s="55">
        <v>25.344999999999999</v>
      </c>
      <c r="E284" s="55" t="s">
        <v>527</v>
      </c>
      <c r="F284" s="55" t="s">
        <v>527</v>
      </c>
    </row>
    <row r="285" spans="1:6">
      <c r="A285" s="54">
        <v>39959</v>
      </c>
      <c r="B285" s="55">
        <v>29.975000000000001</v>
      </c>
      <c r="C285" s="55">
        <v>18.710999999999999</v>
      </c>
      <c r="D285" s="55">
        <v>24.286999999999999</v>
      </c>
      <c r="E285" s="55" t="s">
        <v>527</v>
      </c>
      <c r="F285" s="55" t="s">
        <v>527</v>
      </c>
    </row>
    <row r="286" spans="1:6">
      <c r="A286" s="54">
        <v>39960</v>
      </c>
      <c r="B286" s="55">
        <v>33.018999999999998</v>
      </c>
      <c r="C286" s="55">
        <v>20.353000000000002</v>
      </c>
      <c r="D286" s="55">
        <v>27.196000000000002</v>
      </c>
      <c r="E286" s="55" t="s">
        <v>527</v>
      </c>
      <c r="F286" s="55" t="s">
        <v>527</v>
      </c>
    </row>
    <row r="287" spans="1:6">
      <c r="A287" s="54">
        <v>39961</v>
      </c>
      <c r="B287" s="55">
        <v>32.716000000000001</v>
      </c>
      <c r="C287" s="55">
        <v>20.125</v>
      </c>
      <c r="D287" s="55">
        <v>26.628</v>
      </c>
      <c r="E287" s="55" t="s">
        <v>527</v>
      </c>
      <c r="F287" s="55" t="s">
        <v>527</v>
      </c>
    </row>
    <row r="288" spans="1:6">
      <c r="A288" s="54">
        <v>39962</v>
      </c>
      <c r="B288" s="55">
        <v>38.137999999999998</v>
      </c>
      <c r="C288" s="55">
        <v>23.234999999999999</v>
      </c>
      <c r="D288" s="55">
        <v>31.222000000000001</v>
      </c>
      <c r="E288" s="55" t="s">
        <v>527</v>
      </c>
      <c r="F288" s="55" t="s">
        <v>527</v>
      </c>
    </row>
    <row r="289" spans="1:6">
      <c r="A289" s="54">
        <v>39963</v>
      </c>
      <c r="B289" s="55">
        <v>40.790999999999997</v>
      </c>
      <c r="C289" s="55">
        <v>23.716999999999999</v>
      </c>
      <c r="D289" s="55">
        <v>33.514000000000003</v>
      </c>
      <c r="E289" s="55" t="s">
        <v>527</v>
      </c>
      <c r="F289" s="55" t="s">
        <v>527</v>
      </c>
    </row>
    <row r="290" spans="1:6">
      <c r="A290" s="54">
        <v>39964</v>
      </c>
      <c r="B290" s="55">
        <v>35.837000000000003</v>
      </c>
      <c r="C290" s="55">
        <v>20.704999999999998</v>
      </c>
      <c r="D290" s="55">
        <v>29.712</v>
      </c>
      <c r="E290" s="55" t="s">
        <v>527</v>
      </c>
      <c r="F290" s="55" t="s">
        <v>527</v>
      </c>
    </row>
    <row r="291" spans="1:6">
      <c r="A291" s="56"/>
    </row>
    <row r="292" spans="1:6">
      <c r="A292" s="57" t="s">
        <v>543</v>
      </c>
    </row>
    <row r="293" spans="1:6">
      <c r="A293" s="57" t="s">
        <v>529</v>
      </c>
    </row>
    <row r="294" spans="1:6" ht="18">
      <c r="A294" s="58">
        <v>890.20600000000002</v>
      </c>
    </row>
    <row r="295" spans="1:6">
      <c r="A295" s="57" t="s">
        <v>531</v>
      </c>
    </row>
    <row r="296" spans="1:6">
      <c r="A296" s="59">
        <v>470.33499999999998</v>
      </c>
    </row>
    <row r="297" spans="1:6">
      <c r="A297" s="57" t="s">
        <v>533</v>
      </c>
    </row>
    <row r="298" spans="1:6">
      <c r="A298" s="60">
        <v>32509</v>
      </c>
    </row>
    <row r="299" spans="1:6">
      <c r="A299" s="61"/>
    </row>
    <row r="300" spans="1:6" ht="30">
      <c r="A300" s="52" t="s">
        <v>521</v>
      </c>
      <c r="B300" s="52" t="s">
        <v>522</v>
      </c>
      <c r="C300" s="52" t="s">
        <v>523</v>
      </c>
      <c r="D300" s="53" t="s">
        <v>524</v>
      </c>
      <c r="E300" s="53" t="s">
        <v>525</v>
      </c>
      <c r="F300" s="53" t="s">
        <v>526</v>
      </c>
    </row>
    <row r="301" spans="1:6">
      <c r="A301" s="54">
        <v>39965</v>
      </c>
      <c r="B301" s="55">
        <v>30.931000000000001</v>
      </c>
      <c r="C301" s="55">
        <v>18.619</v>
      </c>
      <c r="D301" s="55">
        <v>24.954000000000001</v>
      </c>
      <c r="E301" s="55" t="s">
        <v>527</v>
      </c>
      <c r="F301" s="55" t="s">
        <v>527</v>
      </c>
    </row>
    <row r="302" spans="1:6">
      <c r="A302" s="54">
        <v>39966</v>
      </c>
      <c r="B302" s="55">
        <v>29.736999999999998</v>
      </c>
      <c r="C302" s="55">
        <v>18.218</v>
      </c>
      <c r="D302" s="55">
        <v>23.753</v>
      </c>
      <c r="E302" s="55" t="s">
        <v>527</v>
      </c>
      <c r="F302" s="55" t="s">
        <v>527</v>
      </c>
    </row>
    <row r="303" spans="1:6">
      <c r="A303" s="54">
        <v>39967</v>
      </c>
      <c r="B303" s="55">
        <v>30.123999999999999</v>
      </c>
      <c r="C303" s="55">
        <v>18.321000000000002</v>
      </c>
      <c r="D303" s="55">
        <v>23.789000000000001</v>
      </c>
      <c r="E303" s="55" t="s">
        <v>527</v>
      </c>
      <c r="F303" s="55" t="s">
        <v>527</v>
      </c>
    </row>
    <row r="304" spans="1:6">
      <c r="A304" s="54">
        <v>39968</v>
      </c>
      <c r="B304" s="55">
        <v>31.158000000000001</v>
      </c>
      <c r="C304" s="55">
        <v>19.172000000000001</v>
      </c>
      <c r="D304" s="55">
        <v>25.01</v>
      </c>
      <c r="E304" s="55" t="s">
        <v>527</v>
      </c>
      <c r="F304" s="55" t="s">
        <v>527</v>
      </c>
    </row>
    <row r="305" spans="1:6">
      <c r="A305" s="54">
        <v>39969</v>
      </c>
      <c r="B305" s="55">
        <v>26.021000000000001</v>
      </c>
      <c r="C305" s="55">
        <v>16.608000000000001</v>
      </c>
      <c r="D305" s="55">
        <v>20.895</v>
      </c>
      <c r="E305" s="55" t="s">
        <v>527</v>
      </c>
      <c r="F305" s="55" t="s">
        <v>527</v>
      </c>
    </row>
    <row r="306" spans="1:6">
      <c r="A306" s="54">
        <v>39970</v>
      </c>
      <c r="B306" s="55">
        <v>40.572000000000003</v>
      </c>
      <c r="C306" s="55">
        <v>23.736999999999998</v>
      </c>
      <c r="D306" s="55">
        <v>32.677999999999997</v>
      </c>
      <c r="E306" s="55" t="s">
        <v>527</v>
      </c>
      <c r="F306" s="55" t="s">
        <v>527</v>
      </c>
    </row>
    <row r="307" spans="1:6">
      <c r="A307" s="54">
        <v>39971</v>
      </c>
      <c r="B307" s="55">
        <v>35.543999999999997</v>
      </c>
      <c r="C307" s="55">
        <v>20.863</v>
      </c>
      <c r="D307" s="55">
        <v>29.009</v>
      </c>
      <c r="E307" s="55" t="s">
        <v>527</v>
      </c>
      <c r="F307" s="55" t="s">
        <v>527</v>
      </c>
    </row>
    <row r="308" spans="1:6">
      <c r="A308" s="54">
        <v>39972</v>
      </c>
      <c r="B308" s="55">
        <v>30.585999999999999</v>
      </c>
      <c r="C308" s="55">
        <v>18.675999999999998</v>
      </c>
      <c r="D308" s="55">
        <v>24.672999999999998</v>
      </c>
      <c r="E308" s="55" t="s">
        <v>527</v>
      </c>
      <c r="F308" s="55" t="s">
        <v>527</v>
      </c>
    </row>
    <row r="309" spans="1:6">
      <c r="A309" s="54">
        <v>39973</v>
      </c>
      <c r="B309" s="55">
        <v>31.265000000000001</v>
      </c>
      <c r="C309" s="55">
        <v>19.091999999999999</v>
      </c>
      <c r="D309" s="55">
        <v>25.344000000000001</v>
      </c>
      <c r="E309" s="55" t="s">
        <v>527</v>
      </c>
      <c r="F309" s="55" t="s">
        <v>527</v>
      </c>
    </row>
    <row r="310" spans="1:6">
      <c r="A310" s="54">
        <v>39974</v>
      </c>
      <c r="B310" s="55">
        <v>32.037999999999997</v>
      </c>
      <c r="C310" s="55">
        <v>19.605</v>
      </c>
      <c r="D310" s="55">
        <v>25.984000000000002</v>
      </c>
      <c r="E310" s="55" t="s">
        <v>527</v>
      </c>
      <c r="F310" s="55" t="s">
        <v>527</v>
      </c>
    </row>
    <row r="311" spans="1:6">
      <c r="A311" s="54">
        <v>39975</v>
      </c>
      <c r="B311" s="55">
        <v>33.045999999999999</v>
      </c>
      <c r="C311" s="55">
        <v>19.956</v>
      </c>
      <c r="D311" s="55">
        <v>27.085000000000001</v>
      </c>
      <c r="E311" s="55" t="s">
        <v>527</v>
      </c>
      <c r="F311" s="55" t="s">
        <v>527</v>
      </c>
    </row>
    <row r="312" spans="1:6">
      <c r="A312" s="54">
        <v>39976</v>
      </c>
      <c r="B312" s="55">
        <v>37.908999999999999</v>
      </c>
      <c r="C312" s="55">
        <v>23.105</v>
      </c>
      <c r="D312" s="55">
        <v>30.638000000000002</v>
      </c>
      <c r="E312" s="55" t="s">
        <v>527</v>
      </c>
      <c r="F312" s="55" t="s">
        <v>527</v>
      </c>
    </row>
    <row r="313" spans="1:6">
      <c r="A313" s="54">
        <v>39977</v>
      </c>
      <c r="B313" s="55">
        <v>38.734000000000002</v>
      </c>
      <c r="C313" s="55">
        <v>22.866</v>
      </c>
      <c r="D313" s="55">
        <v>31.861999999999998</v>
      </c>
      <c r="E313" s="55" t="s">
        <v>527</v>
      </c>
      <c r="F313" s="55" t="s">
        <v>527</v>
      </c>
    </row>
    <row r="314" spans="1:6">
      <c r="A314" s="54">
        <v>39978</v>
      </c>
      <c r="B314" s="55">
        <v>33.893999999999998</v>
      </c>
      <c r="C314" s="55">
        <v>19.863</v>
      </c>
      <c r="D314" s="55">
        <v>27.625</v>
      </c>
      <c r="E314" s="55" t="s">
        <v>527</v>
      </c>
      <c r="F314" s="55" t="s">
        <v>527</v>
      </c>
    </row>
    <row r="315" spans="1:6">
      <c r="A315" s="54">
        <v>39979</v>
      </c>
      <c r="B315" s="55">
        <v>32.331000000000003</v>
      </c>
      <c r="C315" s="55">
        <v>19.55</v>
      </c>
      <c r="D315" s="55">
        <v>25.946000000000002</v>
      </c>
      <c r="E315" s="55" t="s">
        <v>527</v>
      </c>
      <c r="F315" s="55" t="s">
        <v>527</v>
      </c>
    </row>
    <row r="316" spans="1:6">
      <c r="A316" s="54">
        <v>39980</v>
      </c>
      <c r="B316" s="55">
        <v>32.914999999999999</v>
      </c>
      <c r="C316" s="55">
        <v>19.693999999999999</v>
      </c>
      <c r="D316" s="55">
        <v>26.091999999999999</v>
      </c>
      <c r="E316" s="55" t="s">
        <v>527</v>
      </c>
      <c r="F316" s="55" t="s">
        <v>527</v>
      </c>
    </row>
    <row r="317" spans="1:6">
      <c r="A317" s="54">
        <v>39981</v>
      </c>
      <c r="B317" s="55">
        <v>32.756999999999998</v>
      </c>
      <c r="C317" s="55">
        <v>19.927</v>
      </c>
      <c r="D317" s="55">
        <v>26.277999999999999</v>
      </c>
      <c r="E317" s="55" t="s">
        <v>527</v>
      </c>
      <c r="F317" s="55" t="s">
        <v>527</v>
      </c>
    </row>
    <row r="318" spans="1:6">
      <c r="A318" s="54">
        <v>39982</v>
      </c>
      <c r="B318" s="55">
        <v>33.323999999999998</v>
      </c>
      <c r="C318" s="55">
        <v>20.443999999999999</v>
      </c>
      <c r="D318" s="55">
        <v>27.515000000000001</v>
      </c>
      <c r="E318" s="55" t="s">
        <v>527</v>
      </c>
      <c r="F318" s="55" t="s">
        <v>527</v>
      </c>
    </row>
    <row r="319" spans="1:6">
      <c r="A319" s="54">
        <v>39983</v>
      </c>
      <c r="B319" s="55">
        <v>37.069000000000003</v>
      </c>
      <c r="C319" s="55">
        <v>22.273</v>
      </c>
      <c r="D319" s="55">
        <v>30.567</v>
      </c>
      <c r="E319" s="55" t="s">
        <v>527</v>
      </c>
      <c r="F319" s="55" t="s">
        <v>527</v>
      </c>
    </row>
    <row r="320" spans="1:6">
      <c r="A320" s="54">
        <v>39984</v>
      </c>
      <c r="B320" s="55">
        <v>38.621000000000002</v>
      </c>
      <c r="C320" s="55">
        <v>23.050999999999998</v>
      </c>
      <c r="D320" s="55">
        <v>32.017000000000003</v>
      </c>
      <c r="E320" s="55" t="s">
        <v>527</v>
      </c>
      <c r="F320" s="55" t="s">
        <v>527</v>
      </c>
    </row>
    <row r="321" spans="1:6">
      <c r="A321" s="54">
        <v>39985</v>
      </c>
      <c r="B321" s="55">
        <v>36.247</v>
      </c>
      <c r="C321" s="55">
        <v>21.821999999999999</v>
      </c>
      <c r="D321" s="55">
        <v>29.637</v>
      </c>
      <c r="E321" s="55" t="s">
        <v>527</v>
      </c>
      <c r="F321" s="55" t="s">
        <v>527</v>
      </c>
    </row>
    <row r="322" spans="1:6">
      <c r="A322" s="54">
        <v>39986</v>
      </c>
      <c r="B322" s="55">
        <v>35.012</v>
      </c>
      <c r="C322" s="55">
        <v>21.088999999999999</v>
      </c>
      <c r="D322" s="55">
        <v>27.718</v>
      </c>
      <c r="E322" s="55" t="s">
        <v>527</v>
      </c>
      <c r="F322" s="55" t="s">
        <v>527</v>
      </c>
    </row>
    <row r="323" spans="1:6">
      <c r="A323" s="54">
        <v>39987</v>
      </c>
      <c r="B323" s="55">
        <v>35.191000000000003</v>
      </c>
      <c r="C323" s="55">
        <v>21.260999999999999</v>
      </c>
      <c r="D323" s="55">
        <v>27.530999999999999</v>
      </c>
      <c r="E323" s="55" t="s">
        <v>527</v>
      </c>
      <c r="F323" s="55" t="s">
        <v>527</v>
      </c>
    </row>
    <row r="324" spans="1:6">
      <c r="A324" s="54">
        <v>39988</v>
      </c>
      <c r="B324" s="55">
        <v>38.215000000000003</v>
      </c>
      <c r="C324" s="55">
        <v>23.004999999999999</v>
      </c>
      <c r="D324" s="55">
        <v>30.059000000000001</v>
      </c>
      <c r="E324" s="55" t="s">
        <v>527</v>
      </c>
      <c r="F324" s="55" t="s">
        <v>527</v>
      </c>
    </row>
    <row r="325" spans="1:6">
      <c r="A325" s="54">
        <v>39989</v>
      </c>
      <c r="B325" s="55">
        <v>48.661000000000001</v>
      </c>
      <c r="C325" s="55">
        <v>29.417000000000002</v>
      </c>
      <c r="D325" s="55">
        <v>37.481000000000002</v>
      </c>
      <c r="E325" s="55" t="s">
        <v>527</v>
      </c>
      <c r="F325" s="55" t="s">
        <v>527</v>
      </c>
    </row>
    <row r="326" spans="1:6">
      <c r="A326" s="54">
        <v>39990</v>
      </c>
      <c r="B326" s="55">
        <v>50.228000000000002</v>
      </c>
      <c r="C326" s="55">
        <v>30.012</v>
      </c>
      <c r="D326" s="55">
        <v>39.631</v>
      </c>
      <c r="E326" s="55" t="s">
        <v>527</v>
      </c>
      <c r="F326" s="55" t="s">
        <v>527</v>
      </c>
    </row>
    <row r="327" spans="1:6">
      <c r="A327" s="54">
        <v>39991</v>
      </c>
      <c r="B327" s="55">
        <v>51.679000000000002</v>
      </c>
      <c r="C327" s="55">
        <v>30.285</v>
      </c>
      <c r="D327" s="55">
        <v>40.305</v>
      </c>
      <c r="E327" s="55" t="s">
        <v>527</v>
      </c>
      <c r="F327" s="55" t="s">
        <v>527</v>
      </c>
    </row>
    <row r="328" spans="1:6">
      <c r="A328" s="54">
        <v>39992</v>
      </c>
      <c r="B328" s="55">
        <v>48.046999999999997</v>
      </c>
      <c r="C328" s="55">
        <v>28.736000000000001</v>
      </c>
      <c r="D328" s="55">
        <v>38.152999999999999</v>
      </c>
      <c r="E328" s="55" t="s">
        <v>527</v>
      </c>
      <c r="F328" s="55" t="s">
        <v>527</v>
      </c>
    </row>
    <row r="329" spans="1:6">
      <c r="A329" s="54">
        <v>39993</v>
      </c>
      <c r="B329" s="55">
        <v>49.201000000000001</v>
      </c>
      <c r="C329" s="55">
        <v>29.305</v>
      </c>
      <c r="D329" s="55">
        <v>38.905999999999999</v>
      </c>
      <c r="E329" s="55" t="s">
        <v>527</v>
      </c>
      <c r="F329" s="55" t="s">
        <v>527</v>
      </c>
    </row>
    <row r="330" spans="1:6">
      <c r="A330" s="54">
        <v>39994</v>
      </c>
      <c r="B330" s="55">
        <v>48.677999999999997</v>
      </c>
      <c r="C330" s="55">
        <v>28.91</v>
      </c>
      <c r="D330" s="55">
        <v>39.070999999999998</v>
      </c>
      <c r="E330" s="55" t="s">
        <v>527</v>
      </c>
      <c r="F330" s="55" t="s">
        <v>527</v>
      </c>
    </row>
    <row r="331" spans="1:6">
      <c r="A331" s="56"/>
    </row>
    <row r="332" spans="1:6">
      <c r="A332" s="57" t="s">
        <v>544</v>
      </c>
    </row>
    <row r="333" spans="1:6">
      <c r="A333" s="57" t="s">
        <v>529</v>
      </c>
    </row>
    <row r="334" spans="1:6" ht="18">
      <c r="A334" s="58" t="s">
        <v>545</v>
      </c>
    </row>
    <row r="335" spans="1:6">
      <c r="A335" s="57" t="s">
        <v>531</v>
      </c>
    </row>
    <row r="336" spans="1:6">
      <c r="A336" s="59">
        <v>624.86900000000003</v>
      </c>
    </row>
    <row r="337" spans="1:6">
      <c r="A337" s="57" t="s">
        <v>533</v>
      </c>
    </row>
    <row r="338" spans="1:6">
      <c r="A338" s="60">
        <v>32143</v>
      </c>
    </row>
    <row r="339" spans="1:6">
      <c r="A339" s="61"/>
    </row>
    <row r="340" spans="1:6" ht="30">
      <c r="A340" s="52" t="s">
        <v>521</v>
      </c>
      <c r="B340" s="52" t="s">
        <v>522</v>
      </c>
      <c r="C340" s="52" t="s">
        <v>523</v>
      </c>
      <c r="D340" s="53" t="s">
        <v>524</v>
      </c>
      <c r="E340" s="53" t="s">
        <v>525</v>
      </c>
      <c r="F340" s="53" t="s">
        <v>526</v>
      </c>
    </row>
    <row r="341" spans="1:6">
      <c r="A341" s="54">
        <v>39995</v>
      </c>
      <c r="B341" s="55">
        <v>48.655000000000001</v>
      </c>
      <c r="C341" s="55">
        <v>28.952000000000002</v>
      </c>
      <c r="D341" s="55">
        <v>38.542999999999999</v>
      </c>
      <c r="E341" s="55" t="s">
        <v>527</v>
      </c>
      <c r="F341" s="55" t="s">
        <v>527</v>
      </c>
    </row>
    <row r="342" spans="1:6">
      <c r="A342" s="54">
        <v>39996</v>
      </c>
      <c r="B342" s="55">
        <v>49.506999999999998</v>
      </c>
      <c r="C342" s="55">
        <v>29.617000000000001</v>
      </c>
      <c r="D342" s="55">
        <v>38.902000000000001</v>
      </c>
      <c r="E342" s="55" t="s">
        <v>527</v>
      </c>
      <c r="F342" s="55" t="s">
        <v>527</v>
      </c>
    </row>
    <row r="343" spans="1:6">
      <c r="A343" s="54">
        <v>39997</v>
      </c>
      <c r="B343" s="55">
        <v>53.277999999999999</v>
      </c>
      <c r="C343" s="55">
        <v>31.486999999999998</v>
      </c>
      <c r="D343" s="55">
        <v>40.645000000000003</v>
      </c>
      <c r="E343" s="55" t="s">
        <v>527</v>
      </c>
      <c r="F343" s="55" t="s">
        <v>527</v>
      </c>
    </row>
    <row r="344" spans="1:6">
      <c r="A344" s="54">
        <v>39998</v>
      </c>
      <c r="B344" s="55">
        <v>47.893000000000001</v>
      </c>
      <c r="C344" s="55">
        <v>28.099</v>
      </c>
      <c r="D344" s="55">
        <v>37.475999999999999</v>
      </c>
      <c r="E344" s="55" t="s">
        <v>527</v>
      </c>
      <c r="F344" s="55" t="s">
        <v>527</v>
      </c>
    </row>
    <row r="345" spans="1:6">
      <c r="A345" s="54">
        <v>39999</v>
      </c>
      <c r="B345" s="55">
        <v>46.534999999999997</v>
      </c>
      <c r="C345" s="55">
        <v>27.635000000000002</v>
      </c>
      <c r="D345" s="55">
        <v>36.795999999999999</v>
      </c>
      <c r="E345" s="55" t="s">
        <v>527</v>
      </c>
      <c r="F345" s="55" t="s">
        <v>527</v>
      </c>
    </row>
    <row r="346" spans="1:6">
      <c r="A346" s="54">
        <v>40000</v>
      </c>
      <c r="B346" s="55">
        <v>44.453000000000003</v>
      </c>
      <c r="C346" s="55">
        <v>26.884</v>
      </c>
      <c r="D346" s="55">
        <v>34.860999999999997</v>
      </c>
      <c r="E346" s="55" t="s">
        <v>527</v>
      </c>
      <c r="F346" s="55" t="s">
        <v>527</v>
      </c>
    </row>
    <row r="347" spans="1:6">
      <c r="A347" s="54">
        <v>40001</v>
      </c>
      <c r="B347" s="55">
        <v>43.686</v>
      </c>
      <c r="C347" s="55">
        <v>25.869</v>
      </c>
      <c r="D347" s="55">
        <v>34.395000000000003</v>
      </c>
      <c r="E347" s="55" t="s">
        <v>527</v>
      </c>
      <c r="F347" s="55" t="s">
        <v>527</v>
      </c>
    </row>
    <row r="348" spans="1:6">
      <c r="A348" s="54">
        <v>40002</v>
      </c>
      <c r="B348" s="55">
        <v>42.14</v>
      </c>
      <c r="C348" s="55">
        <v>24.606999999999999</v>
      </c>
      <c r="D348" s="55">
        <v>33.527000000000001</v>
      </c>
      <c r="E348" s="55" t="s">
        <v>527</v>
      </c>
      <c r="F348" s="55" t="s">
        <v>527</v>
      </c>
    </row>
    <row r="349" spans="1:6">
      <c r="A349" s="54">
        <v>40003</v>
      </c>
      <c r="B349" s="55">
        <v>44.985999999999997</v>
      </c>
      <c r="C349" s="55">
        <v>27.523</v>
      </c>
      <c r="D349" s="55">
        <v>35.869</v>
      </c>
      <c r="E349" s="55" t="s">
        <v>527</v>
      </c>
      <c r="F349" s="55" t="s">
        <v>527</v>
      </c>
    </row>
    <row r="350" spans="1:6">
      <c r="A350" s="54">
        <v>40004</v>
      </c>
      <c r="B350" s="55">
        <v>50.667000000000002</v>
      </c>
      <c r="C350" s="55">
        <v>30.071999999999999</v>
      </c>
      <c r="D350" s="55">
        <v>41.018999999999998</v>
      </c>
      <c r="E350" s="55" t="s">
        <v>527</v>
      </c>
      <c r="F350" s="55" t="s">
        <v>527</v>
      </c>
    </row>
    <row r="351" spans="1:6">
      <c r="A351" s="54">
        <v>40005</v>
      </c>
      <c r="B351" s="55">
        <v>49.134999999999998</v>
      </c>
      <c r="C351" s="55">
        <v>28.988</v>
      </c>
      <c r="D351" s="55">
        <v>41.100999999999999</v>
      </c>
      <c r="E351" s="55" t="s">
        <v>527</v>
      </c>
      <c r="F351" s="55" t="s">
        <v>527</v>
      </c>
    </row>
    <row r="352" spans="1:6">
      <c r="A352" s="54">
        <v>40006</v>
      </c>
      <c r="B352" s="55">
        <v>50.097000000000001</v>
      </c>
      <c r="C352" s="55">
        <v>30.782</v>
      </c>
      <c r="D352" s="55">
        <v>40.944000000000003</v>
      </c>
      <c r="E352" s="55" t="s">
        <v>527</v>
      </c>
      <c r="F352" s="55" t="s">
        <v>527</v>
      </c>
    </row>
    <row r="353" spans="1:6">
      <c r="A353" s="54">
        <v>40007</v>
      </c>
      <c r="B353" s="55">
        <v>47.045000000000002</v>
      </c>
      <c r="C353" s="55">
        <v>28.699000000000002</v>
      </c>
      <c r="D353" s="55">
        <v>37.804000000000002</v>
      </c>
      <c r="E353" s="55" t="s">
        <v>527</v>
      </c>
      <c r="F353" s="55" t="s">
        <v>527</v>
      </c>
    </row>
    <row r="354" spans="1:6">
      <c r="A354" s="54">
        <v>40008</v>
      </c>
      <c r="B354" s="55">
        <v>49.561999999999998</v>
      </c>
      <c r="C354" s="55">
        <v>29.971</v>
      </c>
      <c r="D354" s="55">
        <v>39.923999999999999</v>
      </c>
      <c r="E354" s="55" t="s">
        <v>527</v>
      </c>
      <c r="F354" s="55" t="s">
        <v>527</v>
      </c>
    </row>
    <row r="355" spans="1:6">
      <c r="A355" s="54">
        <v>40009</v>
      </c>
      <c r="B355" s="55">
        <v>48.366999999999997</v>
      </c>
      <c r="C355" s="55">
        <v>29.312000000000001</v>
      </c>
      <c r="D355" s="55">
        <v>39.137999999999998</v>
      </c>
      <c r="E355" s="55" t="s">
        <v>527</v>
      </c>
      <c r="F355" s="55" t="s">
        <v>527</v>
      </c>
    </row>
    <row r="356" spans="1:6">
      <c r="A356" s="54">
        <v>40010</v>
      </c>
      <c r="B356" s="55">
        <v>47.838999999999999</v>
      </c>
      <c r="C356" s="55">
        <v>28.75</v>
      </c>
      <c r="D356" s="55">
        <v>38.189</v>
      </c>
      <c r="E356" s="55" t="s">
        <v>527</v>
      </c>
      <c r="F356" s="55" t="s">
        <v>527</v>
      </c>
    </row>
    <row r="357" spans="1:6">
      <c r="A357" s="54">
        <v>40011</v>
      </c>
      <c r="B357" s="55">
        <v>51.027000000000001</v>
      </c>
      <c r="C357" s="55">
        <v>30.861000000000001</v>
      </c>
      <c r="D357" s="55">
        <v>41.012999999999998</v>
      </c>
      <c r="E357" s="55" t="s">
        <v>527</v>
      </c>
      <c r="F357" s="55" t="s">
        <v>527</v>
      </c>
    </row>
    <row r="358" spans="1:6">
      <c r="A358" s="54">
        <v>40012</v>
      </c>
      <c r="B358" s="55">
        <v>48.716000000000001</v>
      </c>
      <c r="C358" s="55">
        <v>29.395</v>
      </c>
      <c r="D358" s="55">
        <v>39.39</v>
      </c>
      <c r="E358" s="55" t="s">
        <v>527</v>
      </c>
      <c r="F358" s="55" t="s">
        <v>527</v>
      </c>
    </row>
    <row r="359" spans="1:6">
      <c r="A359" s="54">
        <v>40013</v>
      </c>
      <c r="B359" s="55">
        <v>45.502000000000002</v>
      </c>
      <c r="C359" s="55">
        <v>27.384</v>
      </c>
      <c r="D359" s="55">
        <v>37.289000000000001</v>
      </c>
      <c r="E359" s="55" t="s">
        <v>527</v>
      </c>
      <c r="F359" s="55" t="s">
        <v>527</v>
      </c>
    </row>
    <row r="360" spans="1:6">
      <c r="A360" s="54">
        <v>40014</v>
      </c>
      <c r="B360" s="55">
        <v>46.292999999999999</v>
      </c>
      <c r="C360" s="55">
        <v>27.916</v>
      </c>
      <c r="D360" s="55">
        <v>37.881999999999998</v>
      </c>
      <c r="E360" s="55" t="s">
        <v>527</v>
      </c>
      <c r="F360" s="55" t="s">
        <v>527</v>
      </c>
    </row>
    <row r="361" spans="1:6">
      <c r="A361" s="54">
        <v>40015</v>
      </c>
      <c r="B361" s="55">
        <v>46.654000000000003</v>
      </c>
      <c r="C361" s="55">
        <v>28.286000000000001</v>
      </c>
      <c r="D361" s="55">
        <v>37.904000000000003</v>
      </c>
      <c r="E361" s="55" t="s">
        <v>527</v>
      </c>
      <c r="F361" s="55" t="s">
        <v>527</v>
      </c>
    </row>
    <row r="362" spans="1:6">
      <c r="A362" s="54">
        <v>40016</v>
      </c>
      <c r="B362" s="55">
        <v>45.716999999999999</v>
      </c>
      <c r="C362" s="55">
        <v>27.710999999999999</v>
      </c>
      <c r="D362" s="55">
        <v>36.816000000000003</v>
      </c>
      <c r="E362" s="55" t="s">
        <v>527</v>
      </c>
      <c r="F362" s="55" t="s">
        <v>527</v>
      </c>
    </row>
    <row r="363" spans="1:6">
      <c r="A363" s="54">
        <v>40017</v>
      </c>
      <c r="B363" s="55">
        <v>45.820999999999998</v>
      </c>
      <c r="C363" s="55">
        <v>27.634</v>
      </c>
      <c r="D363" s="55">
        <v>37.005000000000003</v>
      </c>
      <c r="E363" s="55" t="s">
        <v>527</v>
      </c>
      <c r="F363" s="55" t="s">
        <v>527</v>
      </c>
    </row>
    <row r="364" spans="1:6">
      <c r="A364" s="54">
        <v>40018</v>
      </c>
      <c r="B364" s="55">
        <v>49.779000000000003</v>
      </c>
      <c r="C364" s="55">
        <v>29.846</v>
      </c>
      <c r="D364" s="55">
        <v>39.957000000000001</v>
      </c>
      <c r="E364" s="55" t="s">
        <v>527</v>
      </c>
      <c r="F364" s="55" t="s">
        <v>527</v>
      </c>
    </row>
    <row r="365" spans="1:6">
      <c r="A365" s="54">
        <v>40019</v>
      </c>
      <c r="B365" s="55">
        <v>46.624000000000002</v>
      </c>
      <c r="C365" s="55">
        <v>27.446000000000002</v>
      </c>
      <c r="D365" s="55">
        <v>37.029000000000003</v>
      </c>
      <c r="E365" s="55" t="s">
        <v>527</v>
      </c>
      <c r="F365" s="55" t="s">
        <v>527</v>
      </c>
    </row>
    <row r="366" spans="1:6">
      <c r="A366" s="54">
        <v>40020</v>
      </c>
      <c r="B366" s="55">
        <v>43.32</v>
      </c>
      <c r="C366" s="55">
        <v>25.835999999999999</v>
      </c>
      <c r="D366" s="55">
        <v>34.366999999999997</v>
      </c>
      <c r="E366" s="55" t="s">
        <v>527</v>
      </c>
      <c r="F366" s="55" t="s">
        <v>527</v>
      </c>
    </row>
    <row r="367" spans="1:6">
      <c r="A367" s="54">
        <v>40021</v>
      </c>
      <c r="B367" s="55">
        <v>44.43</v>
      </c>
      <c r="C367" s="55">
        <v>26.834</v>
      </c>
      <c r="D367" s="55">
        <v>34.798000000000002</v>
      </c>
      <c r="E367" s="55" t="s">
        <v>527</v>
      </c>
      <c r="F367" s="55" t="s">
        <v>527</v>
      </c>
    </row>
    <row r="368" spans="1:6">
      <c r="A368" s="54">
        <v>40022</v>
      </c>
      <c r="B368" s="55">
        <v>44.226999999999997</v>
      </c>
      <c r="C368" s="55">
        <v>26.66</v>
      </c>
      <c r="D368" s="55">
        <v>35.018999999999998</v>
      </c>
      <c r="E368" s="55" t="s">
        <v>527</v>
      </c>
      <c r="F368" s="55" t="s">
        <v>527</v>
      </c>
    </row>
    <row r="369" spans="1:6">
      <c r="A369" s="54">
        <v>40023</v>
      </c>
      <c r="B369" s="55">
        <v>44.203000000000003</v>
      </c>
      <c r="C369" s="55">
        <v>26.638000000000002</v>
      </c>
      <c r="D369" s="55">
        <v>35.298999999999999</v>
      </c>
      <c r="E369" s="55" t="s">
        <v>527</v>
      </c>
      <c r="F369" s="55" t="s">
        <v>527</v>
      </c>
    </row>
    <row r="370" spans="1:6">
      <c r="A370" s="54">
        <v>40024</v>
      </c>
      <c r="B370" s="55">
        <v>45.783999999999999</v>
      </c>
      <c r="C370" s="55">
        <v>27.398</v>
      </c>
      <c r="D370" s="55">
        <v>36.973999999999997</v>
      </c>
      <c r="E370" s="55" t="s">
        <v>527</v>
      </c>
      <c r="F370" s="55" t="s">
        <v>527</v>
      </c>
    </row>
    <row r="371" spans="1:6">
      <c r="A371" s="54">
        <v>40025</v>
      </c>
      <c r="B371" s="55">
        <v>50.939</v>
      </c>
      <c r="C371" s="55">
        <v>30.437999999999999</v>
      </c>
      <c r="D371" s="55">
        <v>42.612000000000002</v>
      </c>
      <c r="E371" s="55" t="s">
        <v>527</v>
      </c>
      <c r="F371" s="55" t="s">
        <v>527</v>
      </c>
    </row>
    <row r="372" spans="1:6">
      <c r="A372" s="56"/>
    </row>
    <row r="373" spans="1:6">
      <c r="A373" s="57" t="s">
        <v>546</v>
      </c>
    </row>
    <row r="374" spans="1:6">
      <c r="A374" s="57" t="s">
        <v>529</v>
      </c>
    </row>
    <row r="375" spans="1:6" ht="18">
      <c r="A375" s="58" t="s">
        <v>547</v>
      </c>
    </row>
    <row r="376" spans="1:6">
      <c r="A376" s="57" t="s">
        <v>531</v>
      </c>
    </row>
    <row r="377" spans="1:6">
      <c r="A377" s="59">
        <v>590.57600000000002</v>
      </c>
    </row>
    <row r="378" spans="1:6">
      <c r="A378" s="57" t="s">
        <v>533</v>
      </c>
    </row>
    <row r="379" spans="1:6">
      <c r="A379" s="60">
        <v>31413</v>
      </c>
    </row>
    <row r="380" spans="1:6">
      <c r="A380" s="61"/>
    </row>
    <row r="381" spans="1:6" ht="30">
      <c r="A381" s="52" t="s">
        <v>521</v>
      </c>
      <c r="B381" s="52" t="s">
        <v>522</v>
      </c>
      <c r="C381" s="52" t="s">
        <v>523</v>
      </c>
      <c r="D381" s="53" t="s">
        <v>524</v>
      </c>
      <c r="E381" s="53" t="s">
        <v>525</v>
      </c>
      <c r="F381" s="53" t="s">
        <v>526</v>
      </c>
    </row>
    <row r="382" spans="1:6">
      <c r="A382" s="54">
        <v>40026</v>
      </c>
      <c r="B382" s="55">
        <v>49.515999999999998</v>
      </c>
      <c r="C382" s="55">
        <v>29.33</v>
      </c>
      <c r="D382" s="55">
        <v>41.743000000000002</v>
      </c>
      <c r="E382" s="55" t="s">
        <v>527</v>
      </c>
      <c r="F382" s="55" t="s">
        <v>527</v>
      </c>
    </row>
    <row r="383" spans="1:6">
      <c r="A383" s="54">
        <v>40027</v>
      </c>
      <c r="B383" s="55">
        <v>43.981000000000002</v>
      </c>
      <c r="C383" s="55">
        <v>26.309000000000001</v>
      </c>
      <c r="D383" s="55">
        <v>36.49</v>
      </c>
      <c r="E383" s="55" t="s">
        <v>527</v>
      </c>
      <c r="F383" s="55" t="s">
        <v>527</v>
      </c>
    </row>
    <row r="384" spans="1:6">
      <c r="A384" s="54">
        <v>40028</v>
      </c>
      <c r="B384" s="55">
        <v>44.981999999999999</v>
      </c>
      <c r="C384" s="55">
        <v>27.091000000000001</v>
      </c>
      <c r="D384" s="55">
        <v>37.256</v>
      </c>
      <c r="E384" s="55" t="s">
        <v>527</v>
      </c>
      <c r="F384" s="55" t="s">
        <v>527</v>
      </c>
    </row>
    <row r="385" spans="1:6">
      <c r="A385" s="54">
        <v>40029</v>
      </c>
      <c r="B385" s="55">
        <v>47.720999999999997</v>
      </c>
      <c r="C385" s="55">
        <v>28.335999999999999</v>
      </c>
      <c r="D385" s="55">
        <v>39.944000000000003</v>
      </c>
      <c r="E385" s="55" t="s">
        <v>527</v>
      </c>
      <c r="F385" s="55" t="s">
        <v>527</v>
      </c>
    </row>
    <row r="386" spans="1:6">
      <c r="A386" s="54">
        <v>40030</v>
      </c>
      <c r="B386" s="55">
        <v>44.4</v>
      </c>
      <c r="C386" s="55">
        <v>26.818999999999999</v>
      </c>
      <c r="D386" s="55">
        <v>36.249000000000002</v>
      </c>
      <c r="E386" s="55" t="s">
        <v>527</v>
      </c>
      <c r="F386" s="55" t="s">
        <v>527</v>
      </c>
    </row>
    <row r="387" spans="1:6">
      <c r="A387" s="54">
        <v>40031</v>
      </c>
      <c r="B387" s="55">
        <v>44.415999999999997</v>
      </c>
      <c r="C387" s="55">
        <v>26.888999999999999</v>
      </c>
      <c r="D387" s="55">
        <v>36.457000000000001</v>
      </c>
      <c r="E387" s="55" t="s">
        <v>527</v>
      </c>
      <c r="F387" s="55" t="s">
        <v>527</v>
      </c>
    </row>
    <row r="388" spans="1:6">
      <c r="A388" s="54">
        <v>40032</v>
      </c>
      <c r="B388" s="55">
        <v>47.353000000000002</v>
      </c>
      <c r="C388" s="55">
        <v>28.574999999999999</v>
      </c>
      <c r="D388" s="55">
        <v>39.264000000000003</v>
      </c>
      <c r="E388" s="55" t="s">
        <v>527</v>
      </c>
      <c r="F388" s="55" t="s">
        <v>527</v>
      </c>
    </row>
    <row r="389" spans="1:6">
      <c r="A389" s="54">
        <v>40033</v>
      </c>
      <c r="B389" s="55">
        <v>46.033000000000001</v>
      </c>
      <c r="C389" s="55">
        <v>27.291</v>
      </c>
      <c r="D389" s="55">
        <v>38.137</v>
      </c>
      <c r="E389" s="55" t="s">
        <v>527</v>
      </c>
      <c r="F389" s="55" t="s">
        <v>527</v>
      </c>
    </row>
    <row r="390" spans="1:6">
      <c r="A390" s="54">
        <v>40034</v>
      </c>
      <c r="B390" s="55">
        <v>42.774999999999999</v>
      </c>
      <c r="C390" s="55">
        <v>25.914999999999999</v>
      </c>
      <c r="D390" s="55">
        <v>35.878999999999998</v>
      </c>
      <c r="E390" s="55" t="s">
        <v>527</v>
      </c>
      <c r="F390" s="55" t="s">
        <v>527</v>
      </c>
    </row>
    <row r="391" spans="1:6">
      <c r="A391" s="54">
        <v>40035</v>
      </c>
      <c r="B391" s="55">
        <v>45.558</v>
      </c>
      <c r="C391" s="55">
        <v>27.140999999999998</v>
      </c>
      <c r="D391" s="55">
        <v>37.195</v>
      </c>
      <c r="E391" s="55" t="s">
        <v>527</v>
      </c>
      <c r="F391" s="55" t="s">
        <v>527</v>
      </c>
    </row>
    <row r="392" spans="1:6">
      <c r="A392" s="54">
        <v>40036</v>
      </c>
      <c r="B392" s="55">
        <v>45.823999999999998</v>
      </c>
      <c r="C392" s="55">
        <v>27.928000000000001</v>
      </c>
      <c r="D392" s="55">
        <v>37.456000000000003</v>
      </c>
      <c r="E392" s="55" t="s">
        <v>527</v>
      </c>
      <c r="F392" s="55" t="s">
        <v>527</v>
      </c>
    </row>
    <row r="393" spans="1:6">
      <c r="A393" s="54">
        <v>40037</v>
      </c>
      <c r="B393" s="55">
        <v>45.661000000000001</v>
      </c>
      <c r="C393" s="55">
        <v>27.728999999999999</v>
      </c>
      <c r="D393" s="55">
        <v>36.71</v>
      </c>
      <c r="E393" s="55" t="s">
        <v>527</v>
      </c>
      <c r="F393" s="55" t="s">
        <v>527</v>
      </c>
    </row>
    <row r="394" spans="1:6">
      <c r="A394" s="54">
        <v>40038</v>
      </c>
      <c r="B394" s="55">
        <v>44.084000000000003</v>
      </c>
      <c r="C394" s="55">
        <v>26.623999999999999</v>
      </c>
      <c r="D394" s="55">
        <v>35.110999999999997</v>
      </c>
      <c r="E394" s="55" t="s">
        <v>527</v>
      </c>
      <c r="F394" s="55" t="s">
        <v>527</v>
      </c>
    </row>
    <row r="395" spans="1:6">
      <c r="A395" s="54">
        <v>40039</v>
      </c>
      <c r="B395" s="55">
        <v>47.442999999999998</v>
      </c>
      <c r="C395" s="55">
        <v>28.744</v>
      </c>
      <c r="D395" s="55">
        <v>37.738999999999997</v>
      </c>
      <c r="E395" s="55" t="s">
        <v>527</v>
      </c>
      <c r="F395" s="55" t="s">
        <v>527</v>
      </c>
    </row>
    <row r="396" spans="1:6">
      <c r="A396" s="54">
        <v>40040</v>
      </c>
      <c r="B396" s="55">
        <v>44.584000000000003</v>
      </c>
      <c r="C396" s="55">
        <v>26.907</v>
      </c>
      <c r="D396" s="55">
        <v>35.942</v>
      </c>
      <c r="E396" s="55" t="s">
        <v>527</v>
      </c>
      <c r="F396" s="55" t="s">
        <v>527</v>
      </c>
    </row>
    <row r="397" spans="1:6">
      <c r="A397" s="54">
        <v>40041</v>
      </c>
      <c r="B397" s="55">
        <v>41.17</v>
      </c>
      <c r="C397" s="55">
        <v>24.925999999999998</v>
      </c>
      <c r="D397" s="55">
        <v>33.191000000000003</v>
      </c>
      <c r="E397" s="55" t="s">
        <v>527</v>
      </c>
      <c r="F397" s="55" t="s">
        <v>527</v>
      </c>
    </row>
    <row r="398" spans="1:6">
      <c r="A398" s="54">
        <v>40042</v>
      </c>
      <c r="B398" s="55">
        <v>40.481000000000002</v>
      </c>
      <c r="C398" s="55">
        <v>24.719000000000001</v>
      </c>
      <c r="D398" s="55">
        <v>32.075000000000003</v>
      </c>
      <c r="E398" s="55" t="s">
        <v>527</v>
      </c>
      <c r="F398" s="55" t="s">
        <v>527</v>
      </c>
    </row>
    <row r="399" spans="1:6">
      <c r="A399" s="54">
        <v>40043</v>
      </c>
      <c r="B399" s="55">
        <v>40.881</v>
      </c>
      <c r="C399" s="55">
        <v>24.986000000000001</v>
      </c>
      <c r="D399" s="55">
        <v>32.305999999999997</v>
      </c>
      <c r="E399" s="55" t="s">
        <v>527</v>
      </c>
      <c r="F399" s="55" t="s">
        <v>527</v>
      </c>
    </row>
    <row r="400" spans="1:6">
      <c r="A400" s="54">
        <v>40044</v>
      </c>
      <c r="B400" s="55">
        <v>39.581000000000003</v>
      </c>
      <c r="C400" s="55">
        <v>24.396000000000001</v>
      </c>
      <c r="D400" s="55">
        <v>31.071000000000002</v>
      </c>
      <c r="E400" s="55" t="s">
        <v>527</v>
      </c>
      <c r="F400" s="55" t="s">
        <v>527</v>
      </c>
    </row>
    <row r="401" spans="1:6">
      <c r="A401" s="54">
        <v>40045</v>
      </c>
      <c r="B401" s="55">
        <v>42.872999999999998</v>
      </c>
      <c r="C401" s="55">
        <v>26.027999999999999</v>
      </c>
      <c r="D401" s="55">
        <v>33.640999999999998</v>
      </c>
      <c r="E401" s="55" t="s">
        <v>527</v>
      </c>
      <c r="F401" s="55" t="s">
        <v>527</v>
      </c>
    </row>
    <row r="402" spans="1:6">
      <c r="A402" s="54">
        <v>40046</v>
      </c>
      <c r="B402" s="55">
        <v>46.3</v>
      </c>
      <c r="C402" s="55">
        <v>28.286999999999999</v>
      </c>
      <c r="D402" s="55">
        <v>36.972000000000001</v>
      </c>
      <c r="E402" s="55" t="s">
        <v>527</v>
      </c>
      <c r="F402" s="55" t="s">
        <v>527</v>
      </c>
    </row>
    <row r="403" spans="1:6">
      <c r="A403" s="54">
        <v>40047</v>
      </c>
      <c r="B403" s="55">
        <v>46.920999999999999</v>
      </c>
      <c r="C403" s="55">
        <v>28.021000000000001</v>
      </c>
      <c r="D403" s="55">
        <v>37.122</v>
      </c>
      <c r="E403" s="55" t="s">
        <v>527</v>
      </c>
      <c r="F403" s="55" t="s">
        <v>527</v>
      </c>
    </row>
    <row r="404" spans="1:6">
      <c r="A404" s="54">
        <v>40048</v>
      </c>
      <c r="B404" s="55">
        <v>42.804000000000002</v>
      </c>
      <c r="C404" s="55">
        <v>25.911999999999999</v>
      </c>
      <c r="D404" s="55">
        <v>33.840000000000003</v>
      </c>
      <c r="E404" s="55" t="s">
        <v>527</v>
      </c>
      <c r="F404" s="55" t="s">
        <v>527</v>
      </c>
    </row>
    <row r="405" spans="1:6">
      <c r="A405" s="54">
        <v>40049</v>
      </c>
      <c r="B405" s="55">
        <v>44.337000000000003</v>
      </c>
      <c r="C405" s="55">
        <v>25.1</v>
      </c>
      <c r="D405" s="55">
        <v>32.557000000000002</v>
      </c>
      <c r="E405" s="55" t="s">
        <v>527</v>
      </c>
      <c r="F405" s="55" t="s">
        <v>527</v>
      </c>
    </row>
    <row r="406" spans="1:6">
      <c r="A406" s="54">
        <v>40050</v>
      </c>
      <c r="B406" s="55">
        <v>40.976999999999997</v>
      </c>
      <c r="C406" s="55">
        <v>25.227</v>
      </c>
      <c r="D406" s="55">
        <v>32.744</v>
      </c>
      <c r="E406" s="55" t="s">
        <v>527</v>
      </c>
      <c r="F406" s="55" t="s">
        <v>527</v>
      </c>
    </row>
    <row r="407" spans="1:6">
      <c r="A407" s="54">
        <v>40051</v>
      </c>
      <c r="B407" s="55">
        <v>41.554000000000002</v>
      </c>
      <c r="C407" s="55">
        <v>25.818999999999999</v>
      </c>
      <c r="D407" s="55">
        <v>33.368000000000002</v>
      </c>
      <c r="E407" s="55" t="s">
        <v>527</v>
      </c>
      <c r="F407" s="55" t="s">
        <v>527</v>
      </c>
    </row>
    <row r="408" spans="1:6">
      <c r="A408" s="54">
        <v>40052</v>
      </c>
      <c r="B408" s="55">
        <v>40.395000000000003</v>
      </c>
      <c r="C408" s="55">
        <v>24.66</v>
      </c>
      <c r="D408" s="55">
        <v>32.125999999999998</v>
      </c>
      <c r="E408" s="55" t="s">
        <v>527</v>
      </c>
      <c r="F408" s="55" t="s">
        <v>527</v>
      </c>
    </row>
    <row r="409" spans="1:6">
      <c r="A409" s="54">
        <v>40053</v>
      </c>
      <c r="B409" s="55">
        <v>45.701999999999998</v>
      </c>
      <c r="C409" s="55">
        <v>27.991</v>
      </c>
      <c r="D409" s="55">
        <v>36.944000000000003</v>
      </c>
      <c r="E409" s="55" t="s">
        <v>527</v>
      </c>
      <c r="F409" s="55" t="s">
        <v>527</v>
      </c>
    </row>
    <row r="410" spans="1:6">
      <c r="A410" s="54">
        <v>40054</v>
      </c>
      <c r="B410" s="55">
        <v>48.067999999999998</v>
      </c>
      <c r="C410" s="55">
        <v>28.384</v>
      </c>
      <c r="D410" s="55">
        <v>38.427</v>
      </c>
      <c r="E410" s="55" t="s">
        <v>527</v>
      </c>
      <c r="F410" s="55" t="s">
        <v>527</v>
      </c>
    </row>
    <row r="411" spans="1:6">
      <c r="A411" s="54">
        <v>40055</v>
      </c>
      <c r="B411" s="55">
        <v>42.664999999999999</v>
      </c>
      <c r="C411" s="55">
        <v>25.443999999999999</v>
      </c>
      <c r="D411" s="55">
        <v>33.912999999999997</v>
      </c>
      <c r="E411" s="55" t="s">
        <v>527</v>
      </c>
      <c r="F411" s="55" t="s">
        <v>527</v>
      </c>
    </row>
    <row r="412" spans="1:6">
      <c r="A412" s="54">
        <v>40056</v>
      </c>
      <c r="B412" s="55">
        <v>36.234000000000002</v>
      </c>
      <c r="C412" s="55">
        <v>22.587</v>
      </c>
      <c r="D412" s="55">
        <v>29.175000000000001</v>
      </c>
      <c r="E412" s="55" t="s">
        <v>527</v>
      </c>
      <c r="F412" s="55" t="s">
        <v>527</v>
      </c>
    </row>
    <row r="413" spans="1:6">
      <c r="A413" s="56"/>
    </row>
    <row r="414" spans="1:6">
      <c r="A414" s="57" t="s">
        <v>548</v>
      </c>
    </row>
    <row r="415" spans="1:6">
      <c r="A415" s="57" t="s">
        <v>529</v>
      </c>
    </row>
    <row r="416" spans="1:6" ht="18">
      <c r="A416" s="58">
        <v>850.33399999999995</v>
      </c>
    </row>
    <row r="417" spans="1:6">
      <c r="A417" s="57" t="s">
        <v>531</v>
      </c>
    </row>
    <row r="418" spans="1:6">
      <c r="A418" s="59">
        <v>477.28300000000002</v>
      </c>
    </row>
    <row r="419" spans="1:6">
      <c r="A419" s="57" t="s">
        <v>533</v>
      </c>
    </row>
    <row r="420" spans="1:6">
      <c r="A420" s="60">
        <v>28491</v>
      </c>
    </row>
    <row r="421" spans="1:6">
      <c r="A421" s="61"/>
    </row>
    <row r="422" spans="1:6" ht="30">
      <c r="A422" s="52" t="s">
        <v>521</v>
      </c>
      <c r="B422" s="52" t="s">
        <v>522</v>
      </c>
      <c r="C422" s="52" t="s">
        <v>523</v>
      </c>
      <c r="D422" s="53" t="s">
        <v>524</v>
      </c>
      <c r="E422" s="53" t="s">
        <v>525</v>
      </c>
      <c r="F422" s="53" t="s">
        <v>526</v>
      </c>
    </row>
    <row r="423" spans="1:6">
      <c r="A423" s="54">
        <v>40057</v>
      </c>
      <c r="B423" s="55">
        <v>35.686999999999998</v>
      </c>
      <c r="C423" s="55">
        <v>22.475000000000001</v>
      </c>
      <c r="D423" s="55">
        <v>29.382000000000001</v>
      </c>
      <c r="E423" s="55" t="s">
        <v>527</v>
      </c>
      <c r="F423" s="55" t="s">
        <v>527</v>
      </c>
    </row>
    <row r="424" spans="1:6">
      <c r="A424" s="54">
        <v>40058</v>
      </c>
      <c r="B424" s="55">
        <v>33.853999999999999</v>
      </c>
      <c r="C424" s="55">
        <v>21.4</v>
      </c>
      <c r="D424" s="55">
        <v>27.443000000000001</v>
      </c>
      <c r="E424" s="55" t="s">
        <v>527</v>
      </c>
      <c r="F424" s="55" t="s">
        <v>527</v>
      </c>
    </row>
    <row r="425" spans="1:6">
      <c r="A425" s="54">
        <v>40059</v>
      </c>
      <c r="B425" s="55">
        <v>32.981000000000002</v>
      </c>
      <c r="C425" s="55">
        <v>20.989000000000001</v>
      </c>
      <c r="D425" s="55">
        <v>26.664999999999999</v>
      </c>
      <c r="E425" s="55" t="s">
        <v>527</v>
      </c>
      <c r="F425" s="55" t="s">
        <v>527</v>
      </c>
    </row>
    <row r="426" spans="1:6">
      <c r="A426" s="54">
        <v>40060</v>
      </c>
      <c r="B426" s="55">
        <v>43.808</v>
      </c>
      <c r="C426" s="55">
        <v>27.431000000000001</v>
      </c>
      <c r="D426" s="55">
        <v>34.591000000000001</v>
      </c>
      <c r="E426" s="55" t="s">
        <v>527</v>
      </c>
      <c r="F426" s="55" t="s">
        <v>527</v>
      </c>
    </row>
    <row r="427" spans="1:6">
      <c r="A427" s="54">
        <v>40061</v>
      </c>
      <c r="B427" s="55">
        <v>47.747999999999998</v>
      </c>
      <c r="C427" s="55">
        <v>29.01</v>
      </c>
      <c r="D427" s="55">
        <v>37.484999999999999</v>
      </c>
      <c r="E427" s="55" t="s">
        <v>527</v>
      </c>
      <c r="F427" s="55" t="s">
        <v>527</v>
      </c>
    </row>
    <row r="428" spans="1:6">
      <c r="A428" s="54">
        <v>40062</v>
      </c>
      <c r="B428" s="55">
        <v>41.158000000000001</v>
      </c>
      <c r="C428" s="55">
        <v>25.004999999999999</v>
      </c>
      <c r="D428" s="55">
        <v>33.048000000000002</v>
      </c>
      <c r="E428" s="55" t="s">
        <v>527</v>
      </c>
      <c r="F428" s="55" t="s">
        <v>527</v>
      </c>
    </row>
    <row r="429" spans="1:6">
      <c r="A429" s="54">
        <v>40063</v>
      </c>
      <c r="B429" s="55">
        <v>36.259</v>
      </c>
      <c r="C429" s="55">
        <v>22.614999999999998</v>
      </c>
      <c r="D429" s="55">
        <v>28.710999999999999</v>
      </c>
      <c r="E429" s="55" t="s">
        <v>527</v>
      </c>
      <c r="F429" s="55" t="s">
        <v>527</v>
      </c>
    </row>
    <row r="430" spans="1:6">
      <c r="A430" s="54">
        <v>40064</v>
      </c>
      <c r="B430" s="55">
        <v>32.033999999999999</v>
      </c>
      <c r="C430" s="55">
        <v>20.594999999999999</v>
      </c>
      <c r="D430" s="55">
        <v>24.853999999999999</v>
      </c>
      <c r="E430" s="55" t="s">
        <v>527</v>
      </c>
      <c r="F430" s="55" t="s">
        <v>527</v>
      </c>
    </row>
    <row r="431" spans="1:6">
      <c r="A431" s="54">
        <v>40065</v>
      </c>
      <c r="B431" s="55">
        <v>32.378</v>
      </c>
      <c r="C431" s="55">
        <v>20.544</v>
      </c>
      <c r="D431" s="55">
        <v>25.425999999999998</v>
      </c>
      <c r="E431" s="55" t="s">
        <v>527</v>
      </c>
      <c r="F431" s="55" t="s">
        <v>527</v>
      </c>
    </row>
    <row r="432" spans="1:6">
      <c r="A432" s="54">
        <v>40066</v>
      </c>
      <c r="B432" s="55">
        <v>31.661000000000001</v>
      </c>
      <c r="C432" s="55">
        <v>20.323</v>
      </c>
      <c r="D432" s="55">
        <v>24.588999999999999</v>
      </c>
      <c r="E432" s="55" t="s">
        <v>527</v>
      </c>
      <c r="F432" s="55" t="s">
        <v>527</v>
      </c>
    </row>
    <row r="433" spans="1:6">
      <c r="A433" s="54">
        <v>40067</v>
      </c>
      <c r="B433" s="55">
        <v>42.384</v>
      </c>
      <c r="C433" s="55">
        <v>26.884</v>
      </c>
      <c r="D433" s="55">
        <v>32.997</v>
      </c>
      <c r="E433" s="55" t="s">
        <v>527</v>
      </c>
      <c r="F433" s="55" t="s">
        <v>527</v>
      </c>
    </row>
    <row r="434" spans="1:6">
      <c r="A434" s="54">
        <v>40068</v>
      </c>
      <c r="B434" s="55">
        <v>47.875999999999998</v>
      </c>
      <c r="C434" s="55">
        <v>28.698</v>
      </c>
      <c r="D434" s="55">
        <v>38.243000000000002</v>
      </c>
      <c r="E434" s="55" t="s">
        <v>527</v>
      </c>
      <c r="F434" s="55" t="s">
        <v>527</v>
      </c>
    </row>
    <row r="435" spans="1:6">
      <c r="A435" s="54">
        <v>40069</v>
      </c>
      <c r="B435" s="55">
        <v>36.975000000000001</v>
      </c>
      <c r="C435" s="55">
        <v>22.077999999999999</v>
      </c>
      <c r="D435" s="55">
        <v>30.073</v>
      </c>
      <c r="E435" s="55" t="s">
        <v>527</v>
      </c>
      <c r="F435" s="55" t="s">
        <v>527</v>
      </c>
    </row>
    <row r="436" spans="1:6">
      <c r="A436" s="54">
        <v>40070</v>
      </c>
      <c r="B436" s="55">
        <v>28.649000000000001</v>
      </c>
      <c r="C436" s="55">
        <v>18.451000000000001</v>
      </c>
      <c r="D436" s="55">
        <v>22.844000000000001</v>
      </c>
      <c r="E436" s="55" t="s">
        <v>527</v>
      </c>
      <c r="F436" s="55" t="s">
        <v>527</v>
      </c>
    </row>
    <row r="437" spans="1:6">
      <c r="A437" s="54">
        <v>40071</v>
      </c>
      <c r="B437" s="55">
        <v>27.818000000000001</v>
      </c>
      <c r="C437" s="55">
        <v>17.971</v>
      </c>
      <c r="D437" s="55">
        <v>22.248999999999999</v>
      </c>
      <c r="E437" s="55" t="s">
        <v>527</v>
      </c>
      <c r="F437" s="55" t="s">
        <v>527</v>
      </c>
    </row>
    <row r="438" spans="1:6">
      <c r="A438" s="54">
        <v>40072</v>
      </c>
      <c r="B438" s="55">
        <v>28.768000000000001</v>
      </c>
      <c r="C438" s="55">
        <v>18.491</v>
      </c>
      <c r="D438" s="55">
        <v>23.047999999999998</v>
      </c>
      <c r="E438" s="55" t="s">
        <v>527</v>
      </c>
      <c r="F438" s="55" t="s">
        <v>527</v>
      </c>
    </row>
    <row r="439" spans="1:6">
      <c r="A439" s="54">
        <v>40073</v>
      </c>
      <c r="B439" s="55">
        <v>30.105</v>
      </c>
      <c r="C439" s="55">
        <v>19.326000000000001</v>
      </c>
      <c r="D439" s="55">
        <v>23.597999999999999</v>
      </c>
      <c r="E439" s="55" t="s">
        <v>527</v>
      </c>
      <c r="F439" s="55" t="s">
        <v>527</v>
      </c>
    </row>
    <row r="440" spans="1:6">
      <c r="A440" s="54">
        <v>40074</v>
      </c>
      <c r="B440" s="55">
        <v>40.052</v>
      </c>
      <c r="C440" s="55">
        <v>25.5</v>
      </c>
      <c r="D440" s="55">
        <v>30.605</v>
      </c>
      <c r="E440" s="55" t="s">
        <v>527</v>
      </c>
      <c r="F440" s="55" t="s">
        <v>527</v>
      </c>
    </row>
    <row r="441" spans="1:6">
      <c r="A441" s="54">
        <v>40075</v>
      </c>
      <c r="B441" s="55">
        <v>47.604999999999997</v>
      </c>
      <c r="C441" s="55">
        <v>28.59</v>
      </c>
      <c r="D441" s="55">
        <v>37.176000000000002</v>
      </c>
      <c r="E441" s="55" t="s">
        <v>527</v>
      </c>
      <c r="F441" s="55" t="s">
        <v>527</v>
      </c>
    </row>
    <row r="442" spans="1:6">
      <c r="A442" s="54">
        <v>40076</v>
      </c>
      <c r="B442" s="55">
        <v>39.622</v>
      </c>
      <c r="C442" s="55">
        <v>23.661000000000001</v>
      </c>
      <c r="D442" s="55">
        <v>31.305</v>
      </c>
      <c r="E442" s="55" t="s">
        <v>527</v>
      </c>
      <c r="F442" s="55" t="s">
        <v>527</v>
      </c>
    </row>
    <row r="443" spans="1:6">
      <c r="A443" s="54">
        <v>40077</v>
      </c>
      <c r="B443" s="55">
        <v>29.489000000000001</v>
      </c>
      <c r="C443" s="55">
        <v>18.917000000000002</v>
      </c>
      <c r="D443" s="55">
        <v>23.231999999999999</v>
      </c>
      <c r="E443" s="55" t="s">
        <v>527</v>
      </c>
      <c r="F443" s="55" t="s">
        <v>527</v>
      </c>
    </row>
    <row r="444" spans="1:6">
      <c r="A444" s="54">
        <v>40078</v>
      </c>
      <c r="B444" s="55">
        <v>30.152999999999999</v>
      </c>
      <c r="C444" s="55">
        <v>19.334</v>
      </c>
      <c r="D444" s="55">
        <v>24.177</v>
      </c>
      <c r="E444" s="55" t="s">
        <v>527</v>
      </c>
      <c r="F444" s="55" t="s">
        <v>527</v>
      </c>
    </row>
    <row r="445" spans="1:6">
      <c r="A445" s="54">
        <v>40079</v>
      </c>
      <c r="B445" s="55">
        <v>29.966999999999999</v>
      </c>
      <c r="C445" s="55">
        <v>19.129000000000001</v>
      </c>
      <c r="D445" s="55">
        <v>24.933</v>
      </c>
      <c r="E445" s="55" t="s">
        <v>527</v>
      </c>
      <c r="F445" s="55" t="s">
        <v>527</v>
      </c>
    </row>
    <row r="446" spans="1:6">
      <c r="A446" s="54">
        <v>40080</v>
      </c>
      <c r="B446" s="55">
        <v>29.116</v>
      </c>
      <c r="C446" s="55">
        <v>18.513999999999999</v>
      </c>
      <c r="D446" s="55">
        <v>23.073</v>
      </c>
      <c r="E446" s="55" t="s">
        <v>527</v>
      </c>
      <c r="F446" s="55" t="s">
        <v>527</v>
      </c>
    </row>
    <row r="447" spans="1:6">
      <c r="A447" s="54">
        <v>40081</v>
      </c>
      <c r="B447" s="55">
        <v>40.085000000000001</v>
      </c>
      <c r="C447" s="55">
        <v>25.256</v>
      </c>
      <c r="D447" s="55">
        <v>32.384999999999998</v>
      </c>
      <c r="E447" s="55" t="s">
        <v>527</v>
      </c>
      <c r="F447" s="55" t="s">
        <v>527</v>
      </c>
    </row>
    <row r="448" spans="1:6">
      <c r="A448" s="54">
        <v>40082</v>
      </c>
      <c r="B448" s="55">
        <v>40.853999999999999</v>
      </c>
      <c r="C448" s="55">
        <v>23.545000000000002</v>
      </c>
      <c r="D448" s="55">
        <v>33.055999999999997</v>
      </c>
      <c r="E448" s="55" t="s">
        <v>527</v>
      </c>
      <c r="F448" s="55" t="s">
        <v>527</v>
      </c>
    </row>
    <row r="449" spans="1:6">
      <c r="A449" s="54">
        <v>40083</v>
      </c>
      <c r="B449" s="55">
        <v>37.811</v>
      </c>
      <c r="C449" s="55">
        <v>22.529</v>
      </c>
      <c r="D449" s="55">
        <v>31.135999999999999</v>
      </c>
      <c r="E449" s="55" t="s">
        <v>527</v>
      </c>
      <c r="F449" s="55" t="s">
        <v>527</v>
      </c>
    </row>
    <row r="450" spans="1:6">
      <c r="A450" s="54">
        <v>40084</v>
      </c>
      <c r="B450" s="55">
        <v>29.093</v>
      </c>
      <c r="C450" s="55">
        <v>18.417000000000002</v>
      </c>
      <c r="D450" s="55">
        <v>23.702999999999999</v>
      </c>
      <c r="E450" s="55" t="s">
        <v>527</v>
      </c>
      <c r="F450" s="55" t="s">
        <v>527</v>
      </c>
    </row>
    <row r="451" spans="1:6">
      <c r="A451" s="54">
        <v>40085</v>
      </c>
      <c r="B451" s="55">
        <v>29.125</v>
      </c>
      <c r="C451" s="55">
        <v>18.77</v>
      </c>
      <c r="D451" s="55">
        <v>23.721</v>
      </c>
      <c r="E451" s="55" t="s">
        <v>527</v>
      </c>
      <c r="F451" s="55" t="s">
        <v>527</v>
      </c>
    </row>
    <row r="452" spans="1:6">
      <c r="A452" s="54">
        <v>40086</v>
      </c>
      <c r="B452" s="55">
        <v>33.723999999999997</v>
      </c>
      <c r="C452" s="55">
        <v>21.158000000000001</v>
      </c>
      <c r="D452" s="55">
        <v>26.585999999999999</v>
      </c>
      <c r="E452" s="55" t="s">
        <v>527</v>
      </c>
      <c r="F452" s="55" t="s">
        <v>527</v>
      </c>
    </row>
    <row r="453" spans="1:6">
      <c r="A453" s="56"/>
    </row>
    <row r="454" spans="1:6">
      <c r="A454" s="57" t="s">
        <v>549</v>
      </c>
    </row>
    <row r="455" spans="1:6">
      <c r="A455" s="57" t="s">
        <v>529</v>
      </c>
    </row>
    <row r="456" spans="1:6" ht="18">
      <c r="A456" s="58">
        <v>883.52800000000002</v>
      </c>
    </row>
    <row r="457" spans="1:6">
      <c r="A457" s="57" t="s">
        <v>531</v>
      </c>
    </row>
    <row r="458" spans="1:6">
      <c r="A458" s="59">
        <v>474.08300000000003</v>
      </c>
    </row>
    <row r="459" spans="1:6">
      <c r="A459" s="57" t="s">
        <v>533</v>
      </c>
    </row>
    <row r="460" spans="1:6">
      <c r="A460" s="60">
        <v>31413</v>
      </c>
    </row>
    <row r="461" spans="1:6">
      <c r="A461" s="61"/>
    </row>
    <row r="462" spans="1:6" ht="30">
      <c r="A462" s="52" t="s">
        <v>521</v>
      </c>
      <c r="B462" s="52" t="s">
        <v>522</v>
      </c>
      <c r="C462" s="52" t="s">
        <v>523</v>
      </c>
      <c r="D462" s="53" t="s">
        <v>524</v>
      </c>
      <c r="E462" s="53" t="s">
        <v>525</v>
      </c>
      <c r="F462" s="53" t="s">
        <v>526</v>
      </c>
    </row>
    <row r="463" spans="1:6">
      <c r="A463" s="54">
        <v>40087</v>
      </c>
      <c r="B463" s="55">
        <v>34.073</v>
      </c>
      <c r="C463" s="55">
        <v>21.312000000000001</v>
      </c>
      <c r="D463" s="55">
        <v>26.847000000000001</v>
      </c>
      <c r="E463" s="55" t="s">
        <v>527</v>
      </c>
      <c r="F463" s="55" t="s">
        <v>527</v>
      </c>
    </row>
    <row r="464" spans="1:6">
      <c r="A464" s="54">
        <v>40088</v>
      </c>
      <c r="B464" s="55">
        <v>41.570999999999998</v>
      </c>
      <c r="C464" s="55">
        <v>25.866</v>
      </c>
      <c r="D464" s="55">
        <v>33.494</v>
      </c>
      <c r="E464" s="55" t="s">
        <v>527</v>
      </c>
      <c r="F464" s="55" t="s">
        <v>527</v>
      </c>
    </row>
    <row r="465" spans="1:6">
      <c r="A465" s="54">
        <v>40089</v>
      </c>
      <c r="B465" s="55">
        <v>49.945</v>
      </c>
      <c r="C465" s="55">
        <v>29.936</v>
      </c>
      <c r="D465" s="55">
        <v>40.695</v>
      </c>
      <c r="E465" s="55" t="s">
        <v>527</v>
      </c>
      <c r="F465" s="55" t="s">
        <v>527</v>
      </c>
    </row>
    <row r="466" spans="1:6">
      <c r="A466" s="54">
        <v>40090</v>
      </c>
      <c r="B466" s="55">
        <v>42.127000000000002</v>
      </c>
      <c r="C466" s="55">
        <v>24.870999999999999</v>
      </c>
      <c r="D466" s="55">
        <v>33.67</v>
      </c>
      <c r="E466" s="55" t="s">
        <v>527</v>
      </c>
      <c r="F466" s="55" t="s">
        <v>527</v>
      </c>
    </row>
    <row r="467" spans="1:6">
      <c r="A467" s="54">
        <v>40091</v>
      </c>
      <c r="B467" s="55">
        <v>31.195</v>
      </c>
      <c r="C467" s="55">
        <v>19.72</v>
      </c>
      <c r="D467" s="55">
        <v>24.747</v>
      </c>
      <c r="E467" s="55" t="s">
        <v>527</v>
      </c>
      <c r="F467" s="55" t="s">
        <v>527</v>
      </c>
    </row>
    <row r="468" spans="1:6">
      <c r="A468" s="54">
        <v>40092</v>
      </c>
      <c r="B468" s="55">
        <v>29.876000000000001</v>
      </c>
      <c r="C468" s="55">
        <v>18.84</v>
      </c>
      <c r="D468" s="55">
        <v>23.673999999999999</v>
      </c>
      <c r="E468" s="55" t="s">
        <v>527</v>
      </c>
      <c r="F468" s="55" t="s">
        <v>527</v>
      </c>
    </row>
    <row r="469" spans="1:6">
      <c r="A469" s="54">
        <v>40093</v>
      </c>
      <c r="B469" s="55">
        <v>30.945</v>
      </c>
      <c r="C469" s="55">
        <v>19.481000000000002</v>
      </c>
      <c r="D469" s="55">
        <v>24.558</v>
      </c>
      <c r="E469" s="55" t="s">
        <v>527</v>
      </c>
      <c r="F469" s="55" t="s">
        <v>527</v>
      </c>
    </row>
    <row r="470" spans="1:6">
      <c r="A470" s="54">
        <v>40094</v>
      </c>
      <c r="B470" s="55">
        <v>29.864000000000001</v>
      </c>
      <c r="C470" s="55">
        <v>18.986000000000001</v>
      </c>
      <c r="D470" s="55">
        <v>24.247</v>
      </c>
      <c r="E470" s="55" t="s">
        <v>527</v>
      </c>
      <c r="F470" s="55" t="s">
        <v>527</v>
      </c>
    </row>
    <row r="471" spans="1:6">
      <c r="A471" s="54">
        <v>40095</v>
      </c>
      <c r="B471" s="55">
        <v>40.418999999999997</v>
      </c>
      <c r="C471" s="55">
        <v>25.306999999999999</v>
      </c>
      <c r="D471" s="55">
        <v>34.274999999999999</v>
      </c>
      <c r="E471" s="55" t="s">
        <v>527</v>
      </c>
      <c r="F471" s="55" t="s">
        <v>527</v>
      </c>
    </row>
    <row r="472" spans="1:6">
      <c r="A472" s="54">
        <v>40096</v>
      </c>
      <c r="B472" s="55">
        <v>46.499000000000002</v>
      </c>
      <c r="C472" s="55">
        <v>32.042000000000002</v>
      </c>
      <c r="D472" s="55">
        <v>38.502000000000002</v>
      </c>
      <c r="E472" s="55" t="s">
        <v>527</v>
      </c>
      <c r="F472" s="55" t="s">
        <v>527</v>
      </c>
    </row>
    <row r="473" spans="1:6">
      <c r="A473" s="54">
        <v>40097</v>
      </c>
      <c r="B473" s="55">
        <v>38.180999999999997</v>
      </c>
      <c r="C473" s="55">
        <v>26.222999999999999</v>
      </c>
      <c r="D473" s="55">
        <v>31.986000000000001</v>
      </c>
      <c r="E473" s="55" t="s">
        <v>527</v>
      </c>
      <c r="F473" s="55" t="s">
        <v>527</v>
      </c>
    </row>
    <row r="474" spans="1:6">
      <c r="A474" s="54">
        <v>40098</v>
      </c>
      <c r="B474" s="55">
        <v>30.475999999999999</v>
      </c>
      <c r="C474" s="55">
        <v>21.931000000000001</v>
      </c>
      <c r="D474" s="55">
        <v>24.992000000000001</v>
      </c>
      <c r="E474" s="55" t="s">
        <v>527</v>
      </c>
      <c r="F474" s="55" t="s">
        <v>527</v>
      </c>
    </row>
    <row r="475" spans="1:6">
      <c r="A475" s="54">
        <v>40099</v>
      </c>
      <c r="B475" s="55">
        <v>29.675999999999998</v>
      </c>
      <c r="C475" s="55">
        <v>22.048999999999999</v>
      </c>
      <c r="D475" s="55">
        <v>24.375</v>
      </c>
      <c r="E475" s="55" t="s">
        <v>527</v>
      </c>
      <c r="F475" s="55" t="s">
        <v>527</v>
      </c>
    </row>
    <row r="476" spans="1:6">
      <c r="A476" s="54">
        <v>40100</v>
      </c>
      <c r="B476" s="55">
        <v>29.475000000000001</v>
      </c>
      <c r="C476" s="55">
        <v>19.143000000000001</v>
      </c>
      <c r="D476" s="55">
        <v>24.297999999999998</v>
      </c>
      <c r="E476" s="55" t="s">
        <v>527</v>
      </c>
      <c r="F476" s="55" t="s">
        <v>527</v>
      </c>
    </row>
    <row r="477" spans="1:6">
      <c r="A477" s="54">
        <v>40101</v>
      </c>
      <c r="B477" s="55">
        <v>29.100999999999999</v>
      </c>
      <c r="C477" s="55">
        <v>19.75</v>
      </c>
      <c r="D477" s="55">
        <v>24.036000000000001</v>
      </c>
      <c r="E477" s="55" t="s">
        <v>527</v>
      </c>
      <c r="F477" s="55" t="s">
        <v>527</v>
      </c>
    </row>
    <row r="478" spans="1:6">
      <c r="A478" s="54">
        <v>40102</v>
      </c>
      <c r="B478" s="55">
        <v>39.508000000000003</v>
      </c>
      <c r="C478" s="55">
        <v>25.422999999999998</v>
      </c>
      <c r="D478" s="55">
        <v>32.112000000000002</v>
      </c>
      <c r="E478" s="55" t="s">
        <v>527</v>
      </c>
      <c r="F478" s="55" t="s">
        <v>527</v>
      </c>
    </row>
    <row r="479" spans="1:6">
      <c r="A479" s="54">
        <v>40103</v>
      </c>
      <c r="B479" s="55">
        <v>47.661999999999999</v>
      </c>
      <c r="C479" s="55">
        <v>28.27</v>
      </c>
      <c r="D479" s="55">
        <v>38.715000000000003</v>
      </c>
      <c r="E479" s="55" t="s">
        <v>527</v>
      </c>
      <c r="F479" s="55" t="s">
        <v>527</v>
      </c>
    </row>
    <row r="480" spans="1:6">
      <c r="A480" s="54">
        <v>40104</v>
      </c>
      <c r="B480" s="55">
        <v>36.536000000000001</v>
      </c>
      <c r="C480" s="55">
        <v>21.513999999999999</v>
      </c>
      <c r="D480" s="55">
        <v>30.045000000000002</v>
      </c>
      <c r="E480" s="55" t="s">
        <v>527</v>
      </c>
      <c r="F480" s="55" t="s">
        <v>527</v>
      </c>
    </row>
    <row r="481" spans="1:6">
      <c r="A481" s="54">
        <v>40105</v>
      </c>
      <c r="B481" s="55">
        <v>25.623999999999999</v>
      </c>
      <c r="C481" s="55">
        <v>16.46</v>
      </c>
      <c r="D481" s="55">
        <v>20.960999999999999</v>
      </c>
      <c r="E481" s="55" t="s">
        <v>527</v>
      </c>
      <c r="F481" s="55" t="s">
        <v>527</v>
      </c>
    </row>
    <row r="482" spans="1:6">
      <c r="A482" s="54">
        <v>40106</v>
      </c>
      <c r="B482" s="55">
        <v>25.196000000000002</v>
      </c>
      <c r="C482" s="55">
        <v>16.597000000000001</v>
      </c>
      <c r="D482" s="55">
        <v>21.032</v>
      </c>
      <c r="E482" s="55" t="s">
        <v>527</v>
      </c>
      <c r="F482" s="55" t="s">
        <v>527</v>
      </c>
    </row>
    <row r="483" spans="1:6">
      <c r="A483" s="54">
        <v>40107</v>
      </c>
      <c r="B483" s="55">
        <v>26.309000000000001</v>
      </c>
      <c r="C483" s="55">
        <v>16.786999999999999</v>
      </c>
      <c r="D483" s="55">
        <v>21.602</v>
      </c>
      <c r="E483" s="55" t="s">
        <v>527</v>
      </c>
      <c r="F483" s="55" t="s">
        <v>527</v>
      </c>
    </row>
    <row r="484" spans="1:6">
      <c r="A484" s="54">
        <v>40108</v>
      </c>
      <c r="B484" s="55">
        <v>27.64</v>
      </c>
      <c r="C484" s="55">
        <v>17.414000000000001</v>
      </c>
      <c r="D484" s="55">
        <v>22.766999999999999</v>
      </c>
      <c r="E484" s="55" t="s">
        <v>527</v>
      </c>
      <c r="F484" s="55" t="s">
        <v>527</v>
      </c>
    </row>
    <row r="485" spans="1:6">
      <c r="A485" s="54">
        <v>40109</v>
      </c>
      <c r="B485" s="55">
        <v>37.331000000000003</v>
      </c>
      <c r="C485" s="55">
        <v>23.393000000000001</v>
      </c>
      <c r="D485" s="55">
        <v>31.42</v>
      </c>
      <c r="E485" s="55" t="s">
        <v>527</v>
      </c>
      <c r="F485" s="55" t="s">
        <v>527</v>
      </c>
    </row>
    <row r="486" spans="1:6">
      <c r="A486" s="54">
        <v>40110</v>
      </c>
      <c r="B486" s="55">
        <v>42.165999999999997</v>
      </c>
      <c r="C486" s="55">
        <v>25.143999999999998</v>
      </c>
      <c r="D486" s="55">
        <v>35.26</v>
      </c>
      <c r="E486" s="55" t="s">
        <v>527</v>
      </c>
      <c r="F486" s="55" t="s">
        <v>527</v>
      </c>
    </row>
    <row r="487" spans="1:6">
      <c r="A487" s="54">
        <v>40111</v>
      </c>
      <c r="B487" s="55">
        <v>34.850999999999999</v>
      </c>
      <c r="C487" s="55">
        <v>20.893000000000001</v>
      </c>
      <c r="D487" s="55">
        <v>29.285</v>
      </c>
      <c r="E487" s="55" t="s">
        <v>527</v>
      </c>
      <c r="F487" s="55" t="s">
        <v>527</v>
      </c>
    </row>
    <row r="488" spans="1:6">
      <c r="A488" s="54">
        <v>40112</v>
      </c>
      <c r="B488" s="55">
        <v>27.808</v>
      </c>
      <c r="C488" s="55">
        <v>17.699000000000002</v>
      </c>
      <c r="D488" s="55">
        <v>23.283999999999999</v>
      </c>
      <c r="E488" s="55" t="s">
        <v>527</v>
      </c>
      <c r="F488" s="55" t="s">
        <v>527</v>
      </c>
    </row>
    <row r="489" spans="1:6">
      <c r="A489" s="54">
        <v>40113</v>
      </c>
      <c r="B489" s="55">
        <v>28.988</v>
      </c>
      <c r="C489" s="55">
        <v>18.588000000000001</v>
      </c>
      <c r="D489" s="55">
        <v>24.234000000000002</v>
      </c>
      <c r="E489" s="55" t="s">
        <v>527</v>
      </c>
      <c r="F489" s="55" t="s">
        <v>527</v>
      </c>
    </row>
    <row r="490" spans="1:6">
      <c r="A490" s="54">
        <v>40114</v>
      </c>
      <c r="B490" s="55">
        <v>30.056000000000001</v>
      </c>
      <c r="C490" s="55">
        <v>18.951000000000001</v>
      </c>
      <c r="D490" s="55">
        <v>25.158999999999999</v>
      </c>
      <c r="E490" s="55" t="s">
        <v>527</v>
      </c>
      <c r="F490" s="55" t="s">
        <v>527</v>
      </c>
    </row>
    <row r="491" spans="1:6">
      <c r="A491" s="54">
        <v>40115</v>
      </c>
      <c r="B491" s="55">
        <v>31.821999999999999</v>
      </c>
      <c r="C491" s="55">
        <v>19.677</v>
      </c>
      <c r="D491" s="55">
        <v>26.213999999999999</v>
      </c>
      <c r="E491" s="55" t="s">
        <v>527</v>
      </c>
      <c r="F491" s="55" t="s">
        <v>527</v>
      </c>
    </row>
    <row r="492" spans="1:6">
      <c r="A492" s="54">
        <v>40116</v>
      </c>
      <c r="B492" s="55">
        <v>39.320999999999998</v>
      </c>
      <c r="C492" s="55">
        <v>24.196000000000002</v>
      </c>
      <c r="D492" s="55">
        <v>32.962000000000003</v>
      </c>
      <c r="E492" s="55" t="s">
        <v>527</v>
      </c>
      <c r="F492" s="55" t="s">
        <v>527</v>
      </c>
    </row>
    <row r="493" spans="1:6">
      <c r="A493" s="54">
        <v>40117</v>
      </c>
      <c r="B493" s="55">
        <v>40.573</v>
      </c>
      <c r="C493" s="55">
        <v>24.064</v>
      </c>
      <c r="D493" s="55">
        <v>34.08</v>
      </c>
      <c r="E493" s="55" t="s">
        <v>527</v>
      </c>
      <c r="F493" s="55" t="s">
        <v>527</v>
      </c>
    </row>
    <row r="494" spans="1:6">
      <c r="A494" s="56"/>
    </row>
    <row r="495" spans="1:6">
      <c r="A495" s="57" t="s">
        <v>550</v>
      </c>
    </row>
    <row r="496" spans="1:6">
      <c r="A496" s="57" t="s">
        <v>529</v>
      </c>
    </row>
    <row r="497" spans="1:6" ht="18">
      <c r="A497" s="58">
        <v>904.19200000000001</v>
      </c>
    </row>
    <row r="498" spans="1:6">
      <c r="A498" s="57" t="s">
        <v>531</v>
      </c>
    </row>
    <row r="499" spans="1:6">
      <c r="A499" s="59">
        <v>520.97199999999998</v>
      </c>
    </row>
    <row r="500" spans="1:6">
      <c r="A500" s="57" t="s">
        <v>533</v>
      </c>
    </row>
    <row r="501" spans="1:6">
      <c r="A501" s="60">
        <v>27030</v>
      </c>
    </row>
    <row r="502" spans="1:6">
      <c r="A502" s="61"/>
    </row>
    <row r="503" spans="1:6" ht="30">
      <c r="A503" s="52" t="s">
        <v>521</v>
      </c>
      <c r="B503" s="52" t="s">
        <v>522</v>
      </c>
      <c r="C503" s="52" t="s">
        <v>523</v>
      </c>
      <c r="D503" s="53" t="s">
        <v>524</v>
      </c>
      <c r="E503" s="53" t="s">
        <v>525</v>
      </c>
      <c r="F503" s="53" t="s">
        <v>526</v>
      </c>
    </row>
    <row r="504" spans="1:6">
      <c r="A504" s="54">
        <v>40118</v>
      </c>
      <c r="B504" s="55">
        <v>34.984000000000002</v>
      </c>
      <c r="C504" s="55">
        <v>21.282</v>
      </c>
      <c r="D504" s="55">
        <v>29.010999999999999</v>
      </c>
      <c r="E504" s="55" t="s">
        <v>527</v>
      </c>
      <c r="F504" s="55" t="s">
        <v>527</v>
      </c>
    </row>
    <row r="505" spans="1:6">
      <c r="A505" s="54">
        <v>40119</v>
      </c>
      <c r="B505" s="55">
        <v>27.164000000000001</v>
      </c>
      <c r="C505" s="55">
        <v>17.463000000000001</v>
      </c>
      <c r="D505" s="55">
        <v>22.593</v>
      </c>
      <c r="E505" s="55" t="s">
        <v>527</v>
      </c>
      <c r="F505" s="55" t="s">
        <v>527</v>
      </c>
    </row>
    <row r="506" spans="1:6">
      <c r="A506" s="54">
        <v>40120</v>
      </c>
      <c r="B506" s="55">
        <v>49.161000000000001</v>
      </c>
      <c r="C506" s="55">
        <v>32.338000000000001</v>
      </c>
      <c r="D506" s="55">
        <v>20.207999999999998</v>
      </c>
      <c r="E506" s="55" t="s">
        <v>527</v>
      </c>
      <c r="F506" s="55" t="s">
        <v>527</v>
      </c>
    </row>
    <row r="507" spans="1:6">
      <c r="A507" s="54">
        <v>40121</v>
      </c>
      <c r="B507" s="55">
        <v>44.454000000000001</v>
      </c>
      <c r="C507" s="55">
        <v>28.738</v>
      </c>
      <c r="D507" s="55">
        <v>21.655000000000001</v>
      </c>
      <c r="E507" s="55" t="s">
        <v>527</v>
      </c>
      <c r="F507" s="55" t="s">
        <v>527</v>
      </c>
    </row>
    <row r="508" spans="1:6">
      <c r="A508" s="54">
        <v>40122</v>
      </c>
      <c r="B508" s="55">
        <v>44.792000000000002</v>
      </c>
      <c r="C508" s="55">
        <v>29.401</v>
      </c>
      <c r="D508" s="55">
        <v>26.137</v>
      </c>
      <c r="E508" s="55" t="s">
        <v>527</v>
      </c>
      <c r="F508" s="55" t="s">
        <v>527</v>
      </c>
    </row>
    <row r="509" spans="1:6">
      <c r="A509" s="54">
        <v>40123</v>
      </c>
      <c r="B509" s="55">
        <v>52.466999999999999</v>
      </c>
      <c r="C509" s="55">
        <v>33.515000000000001</v>
      </c>
      <c r="D509" s="55">
        <v>34.588999999999999</v>
      </c>
      <c r="E509" s="55" t="s">
        <v>527</v>
      </c>
      <c r="F509" s="55" t="s">
        <v>527</v>
      </c>
    </row>
    <row r="510" spans="1:6">
      <c r="A510" s="54">
        <v>40124</v>
      </c>
      <c r="B510" s="55">
        <v>59.606000000000002</v>
      </c>
      <c r="C510" s="55">
        <v>36.213999999999999</v>
      </c>
      <c r="D510" s="55">
        <v>41.576000000000001</v>
      </c>
      <c r="E510" s="55" t="s">
        <v>527</v>
      </c>
      <c r="F510" s="55" t="s">
        <v>527</v>
      </c>
    </row>
    <row r="511" spans="1:6">
      <c r="A511" s="54">
        <v>40125</v>
      </c>
      <c r="B511" s="55">
        <v>46.759</v>
      </c>
      <c r="C511" s="55">
        <v>28.213000000000001</v>
      </c>
      <c r="D511" s="55">
        <v>32.613999999999997</v>
      </c>
      <c r="E511" s="55" t="s">
        <v>527</v>
      </c>
      <c r="F511" s="55" t="s">
        <v>527</v>
      </c>
    </row>
    <row r="512" spans="1:6">
      <c r="A512" s="54">
        <v>40126</v>
      </c>
      <c r="B512" s="55">
        <v>34.777999999999999</v>
      </c>
      <c r="C512" s="55">
        <v>22.503</v>
      </c>
      <c r="D512" s="55">
        <v>24.818999999999999</v>
      </c>
      <c r="E512" s="55" t="s">
        <v>527</v>
      </c>
      <c r="F512" s="55" t="s">
        <v>527</v>
      </c>
    </row>
    <row r="513" spans="1:6">
      <c r="A513" s="54">
        <v>40127</v>
      </c>
      <c r="B513" s="55">
        <v>36.279000000000003</v>
      </c>
      <c r="C513" s="55">
        <v>22.934000000000001</v>
      </c>
      <c r="D513" s="55">
        <v>26.59</v>
      </c>
      <c r="E513" s="55" t="s">
        <v>527</v>
      </c>
      <c r="F513" s="55" t="s">
        <v>527</v>
      </c>
    </row>
    <row r="514" spans="1:6">
      <c r="A514" s="54">
        <v>40128</v>
      </c>
      <c r="B514" s="55">
        <v>36.295999999999999</v>
      </c>
      <c r="C514" s="55">
        <v>22.63</v>
      </c>
      <c r="D514" s="55">
        <v>27.384</v>
      </c>
      <c r="E514" s="55" t="s">
        <v>527</v>
      </c>
      <c r="F514" s="55" t="s">
        <v>527</v>
      </c>
    </row>
    <row r="515" spans="1:6">
      <c r="A515" s="54">
        <v>40129</v>
      </c>
      <c r="B515" s="55">
        <v>32.344000000000001</v>
      </c>
      <c r="C515" s="55">
        <v>20.643999999999998</v>
      </c>
      <c r="D515" s="55">
        <v>24.59</v>
      </c>
      <c r="E515" s="55" t="s">
        <v>527</v>
      </c>
      <c r="F515" s="55" t="s">
        <v>527</v>
      </c>
    </row>
    <row r="516" spans="1:6">
      <c r="A516" s="54">
        <v>40130</v>
      </c>
      <c r="B516" s="55">
        <v>44.722000000000001</v>
      </c>
      <c r="C516" s="55">
        <v>27.117000000000001</v>
      </c>
      <c r="D516" s="55">
        <v>34.536000000000001</v>
      </c>
      <c r="E516" s="55" t="s">
        <v>527</v>
      </c>
      <c r="F516" s="55" t="s">
        <v>527</v>
      </c>
    </row>
    <row r="517" spans="1:6">
      <c r="A517" s="54">
        <v>40131</v>
      </c>
      <c r="B517" s="55">
        <v>52.134999999999998</v>
      </c>
      <c r="C517" s="55">
        <v>30.300999999999998</v>
      </c>
      <c r="D517" s="55">
        <v>41.625999999999998</v>
      </c>
      <c r="E517" s="55" t="s">
        <v>527</v>
      </c>
      <c r="F517" s="55" t="s">
        <v>527</v>
      </c>
    </row>
    <row r="518" spans="1:6">
      <c r="A518" s="54">
        <v>40132</v>
      </c>
      <c r="B518" s="55">
        <v>43.232999999999997</v>
      </c>
      <c r="C518" s="55">
        <v>24.974</v>
      </c>
      <c r="D518" s="55">
        <v>34.313000000000002</v>
      </c>
      <c r="E518" s="55" t="s">
        <v>527</v>
      </c>
      <c r="F518" s="55" t="s">
        <v>527</v>
      </c>
    </row>
    <row r="519" spans="1:6">
      <c r="A519" s="54">
        <v>40133</v>
      </c>
      <c r="B519" s="55">
        <v>30.082000000000001</v>
      </c>
      <c r="C519" s="55">
        <v>18.841000000000001</v>
      </c>
      <c r="D519" s="55">
        <v>23.821000000000002</v>
      </c>
      <c r="E519" s="55" t="s">
        <v>527</v>
      </c>
      <c r="F519" s="55" t="s">
        <v>527</v>
      </c>
    </row>
    <row r="520" spans="1:6">
      <c r="A520" s="54">
        <v>40134</v>
      </c>
      <c r="B520" s="55">
        <v>30.788</v>
      </c>
      <c r="C520" s="55">
        <v>19.459</v>
      </c>
      <c r="D520" s="55">
        <v>24.632999999999999</v>
      </c>
      <c r="E520" s="55" t="s">
        <v>527</v>
      </c>
      <c r="F520" s="55" t="s">
        <v>527</v>
      </c>
    </row>
    <row r="521" spans="1:6">
      <c r="A521" s="54">
        <v>40135</v>
      </c>
      <c r="B521" s="55">
        <v>31.106999999999999</v>
      </c>
      <c r="C521" s="55">
        <v>19.649999999999999</v>
      </c>
      <c r="D521" s="55">
        <v>25.239000000000001</v>
      </c>
      <c r="E521" s="55" t="s">
        <v>527</v>
      </c>
      <c r="F521" s="55" t="s">
        <v>527</v>
      </c>
    </row>
    <row r="522" spans="1:6">
      <c r="A522" s="54">
        <v>40136</v>
      </c>
      <c r="B522" s="55">
        <v>33.317999999999998</v>
      </c>
      <c r="C522" s="55">
        <v>21.175000000000001</v>
      </c>
      <c r="D522" s="55">
        <v>27.021000000000001</v>
      </c>
      <c r="E522" s="55" t="s">
        <v>527</v>
      </c>
      <c r="F522" s="55" t="s">
        <v>527</v>
      </c>
    </row>
    <row r="523" spans="1:6">
      <c r="A523" s="54">
        <v>40137</v>
      </c>
      <c r="B523" s="55">
        <v>41.009</v>
      </c>
      <c r="C523" s="55">
        <v>25.331</v>
      </c>
      <c r="D523" s="55">
        <v>34.731999999999999</v>
      </c>
      <c r="E523" s="55" t="s">
        <v>527</v>
      </c>
      <c r="F523" s="55" t="s">
        <v>527</v>
      </c>
    </row>
    <row r="524" spans="1:6">
      <c r="A524" s="54">
        <v>40138</v>
      </c>
      <c r="B524" s="55">
        <v>47.780999999999999</v>
      </c>
      <c r="C524" s="55">
        <v>28.472999999999999</v>
      </c>
      <c r="D524" s="55">
        <v>41.101999999999997</v>
      </c>
      <c r="E524" s="55" t="s">
        <v>527</v>
      </c>
      <c r="F524" s="55" t="s">
        <v>527</v>
      </c>
    </row>
    <row r="525" spans="1:6">
      <c r="A525" s="54">
        <v>40139</v>
      </c>
      <c r="B525" s="55">
        <v>39.171999999999997</v>
      </c>
      <c r="C525" s="55">
        <v>23.443000000000001</v>
      </c>
      <c r="D525" s="55">
        <v>33.590000000000003</v>
      </c>
      <c r="E525" s="55" t="s">
        <v>527</v>
      </c>
      <c r="F525" s="55" t="s">
        <v>527</v>
      </c>
    </row>
    <row r="526" spans="1:6">
      <c r="A526" s="54">
        <v>40140</v>
      </c>
      <c r="B526" s="55">
        <v>29.463000000000001</v>
      </c>
      <c r="C526" s="55">
        <v>18.533000000000001</v>
      </c>
      <c r="D526" s="55">
        <v>25.233000000000001</v>
      </c>
      <c r="E526" s="55" t="s">
        <v>527</v>
      </c>
      <c r="F526" s="55" t="s">
        <v>527</v>
      </c>
    </row>
    <row r="527" spans="1:6">
      <c r="A527" s="54">
        <v>40141</v>
      </c>
      <c r="B527" s="55">
        <v>32.954000000000001</v>
      </c>
      <c r="C527" s="55">
        <v>20.628</v>
      </c>
      <c r="D527" s="55">
        <v>28.49</v>
      </c>
      <c r="E527" s="55" t="s">
        <v>527</v>
      </c>
      <c r="F527" s="55" t="s">
        <v>527</v>
      </c>
    </row>
    <row r="528" spans="1:6">
      <c r="A528" s="54">
        <v>40142</v>
      </c>
      <c r="B528" s="55">
        <v>36.42</v>
      </c>
      <c r="C528" s="55">
        <v>22.45</v>
      </c>
      <c r="D528" s="55">
        <v>30.736000000000001</v>
      </c>
      <c r="E528" s="55" t="s">
        <v>527</v>
      </c>
      <c r="F528" s="55" t="s">
        <v>527</v>
      </c>
    </row>
    <row r="529" spans="1:6">
      <c r="A529" s="54">
        <v>40143</v>
      </c>
      <c r="B529" s="55">
        <v>38.048999999999999</v>
      </c>
      <c r="C529" s="55">
        <v>23.309000000000001</v>
      </c>
      <c r="D529" s="55">
        <v>32.807000000000002</v>
      </c>
      <c r="E529" s="55" t="s">
        <v>527</v>
      </c>
      <c r="F529" s="55" t="s">
        <v>527</v>
      </c>
    </row>
    <row r="530" spans="1:6">
      <c r="A530" s="54">
        <v>40144</v>
      </c>
      <c r="B530" s="55">
        <v>44.548000000000002</v>
      </c>
      <c r="C530" s="55">
        <v>26.646999999999998</v>
      </c>
      <c r="D530" s="55">
        <v>37.774000000000001</v>
      </c>
      <c r="E530" s="55" t="s">
        <v>527</v>
      </c>
      <c r="F530" s="55" t="s">
        <v>527</v>
      </c>
    </row>
    <row r="531" spans="1:6">
      <c r="A531" s="54">
        <v>40145</v>
      </c>
      <c r="B531" s="55">
        <v>46.475999999999999</v>
      </c>
      <c r="C531" s="55">
        <v>27.231000000000002</v>
      </c>
      <c r="D531" s="55">
        <v>39.889000000000003</v>
      </c>
      <c r="E531" s="55" t="s">
        <v>527</v>
      </c>
      <c r="F531" s="55" t="s">
        <v>527</v>
      </c>
    </row>
    <row r="532" spans="1:6">
      <c r="A532" s="54">
        <v>40146</v>
      </c>
      <c r="B532" s="55">
        <v>38.054000000000002</v>
      </c>
      <c r="C532" s="55">
        <v>22.196000000000002</v>
      </c>
      <c r="D532" s="55">
        <v>32.564</v>
      </c>
      <c r="E532" s="55" t="s">
        <v>527</v>
      </c>
      <c r="F532" s="55" t="s">
        <v>527</v>
      </c>
    </row>
    <row r="533" spans="1:6">
      <c r="A533" s="54">
        <v>40147</v>
      </c>
      <c r="B533" s="55">
        <v>29.251999999999999</v>
      </c>
      <c r="C533" s="55">
        <v>19.751000000000001</v>
      </c>
      <c r="D533" s="55">
        <v>24.32</v>
      </c>
      <c r="E533" s="55" t="s">
        <v>527</v>
      </c>
      <c r="F533" s="55" t="s">
        <v>527</v>
      </c>
    </row>
    <row r="534" spans="1:6">
      <c r="A534" s="56"/>
    </row>
    <row r="535" spans="1:6">
      <c r="A535" s="57" t="s">
        <v>551</v>
      </c>
    </row>
    <row r="536" spans="1:6">
      <c r="A536" s="57" t="s">
        <v>529</v>
      </c>
    </row>
    <row r="537" spans="1:6" ht="18">
      <c r="A537" s="58">
        <v>870.03399999999999</v>
      </c>
    </row>
    <row r="538" spans="1:6">
      <c r="A538" s="57" t="s">
        <v>531</v>
      </c>
    </row>
    <row r="539" spans="1:6">
      <c r="A539" s="59">
        <v>435.91199999999998</v>
      </c>
    </row>
    <row r="540" spans="1:6">
      <c r="A540" s="57" t="s">
        <v>533</v>
      </c>
    </row>
    <row r="541" spans="1:6">
      <c r="A541" s="59" t="s">
        <v>552</v>
      </c>
    </row>
    <row r="542" spans="1:6">
      <c r="A542" s="61"/>
    </row>
    <row r="543" spans="1:6" ht="30">
      <c r="A543" s="52" t="s">
        <v>521</v>
      </c>
      <c r="B543" s="52" t="s">
        <v>522</v>
      </c>
      <c r="C543" s="52" t="s">
        <v>523</v>
      </c>
      <c r="D543" s="53" t="s">
        <v>524</v>
      </c>
      <c r="E543" s="53" t="s">
        <v>525</v>
      </c>
      <c r="F543" s="53" t="s">
        <v>526</v>
      </c>
    </row>
    <row r="544" spans="1:6">
      <c r="A544" s="54">
        <v>40148</v>
      </c>
      <c r="B544" s="55">
        <v>27.402999999999999</v>
      </c>
      <c r="C544" s="55">
        <v>19.577999999999999</v>
      </c>
      <c r="D544" s="55">
        <v>22.943999999999999</v>
      </c>
      <c r="E544" s="55" t="s">
        <v>527</v>
      </c>
      <c r="F544" s="55" t="s">
        <v>527</v>
      </c>
    </row>
    <row r="545" spans="1:6">
      <c r="A545" s="54">
        <v>40149</v>
      </c>
      <c r="B545" s="55">
        <v>20.594999999999999</v>
      </c>
      <c r="C545" s="55">
        <v>13.069000000000001</v>
      </c>
      <c r="D545" s="55">
        <v>17.440999999999999</v>
      </c>
      <c r="E545" s="55" t="s">
        <v>527</v>
      </c>
      <c r="F545" s="55" t="s">
        <v>527</v>
      </c>
    </row>
    <row r="546" spans="1:6">
      <c r="A546" s="54">
        <v>40150</v>
      </c>
      <c r="B546" s="55">
        <v>-443</v>
      </c>
      <c r="C546" s="55">
        <v>1.9630000000000001</v>
      </c>
      <c r="D546" s="55">
        <v>-1.5489999999999999</v>
      </c>
      <c r="E546" s="55" t="s">
        <v>527</v>
      </c>
      <c r="F546" s="55" t="s">
        <v>527</v>
      </c>
    </row>
    <row r="547" spans="1:6">
      <c r="A547" s="54">
        <v>40151</v>
      </c>
      <c r="B547" s="55">
        <v>37.177999999999997</v>
      </c>
      <c r="C547" s="55">
        <v>27.917999999999999</v>
      </c>
      <c r="D547" s="55">
        <v>31.757999999999999</v>
      </c>
      <c r="E547" s="55" t="s">
        <v>527</v>
      </c>
      <c r="F547" s="55" t="s">
        <v>527</v>
      </c>
    </row>
    <row r="548" spans="1:6">
      <c r="A548" s="54">
        <v>40152</v>
      </c>
      <c r="B548" s="55">
        <v>45.728000000000002</v>
      </c>
      <c r="C548" s="55">
        <v>32.497999999999998</v>
      </c>
      <c r="D548" s="55">
        <v>39.180999999999997</v>
      </c>
      <c r="E548" s="55" t="s">
        <v>527</v>
      </c>
      <c r="F548" s="55" t="s">
        <v>527</v>
      </c>
    </row>
    <row r="549" spans="1:6">
      <c r="A549" s="54">
        <v>40153</v>
      </c>
      <c r="B549" s="55">
        <v>35.837000000000003</v>
      </c>
      <c r="C549" s="55">
        <v>25.001999999999999</v>
      </c>
      <c r="D549" s="55">
        <v>30.573</v>
      </c>
      <c r="E549" s="55" t="s">
        <v>527</v>
      </c>
      <c r="F549" s="55" t="s">
        <v>527</v>
      </c>
    </row>
    <row r="550" spans="1:6">
      <c r="A550" s="54">
        <v>40154</v>
      </c>
      <c r="B550" s="55">
        <v>27.78</v>
      </c>
      <c r="C550" s="55">
        <v>20.736999999999998</v>
      </c>
      <c r="D550" s="55">
        <v>23.564</v>
      </c>
      <c r="E550" s="55" t="s">
        <v>527</v>
      </c>
      <c r="F550" s="55" t="s">
        <v>527</v>
      </c>
    </row>
    <row r="551" spans="1:6">
      <c r="A551" s="54">
        <v>40155</v>
      </c>
      <c r="B551" s="55">
        <v>27.350999999999999</v>
      </c>
      <c r="C551" s="55">
        <v>20.087</v>
      </c>
      <c r="D551" s="55">
        <v>23.527000000000001</v>
      </c>
      <c r="E551" s="55" t="s">
        <v>527</v>
      </c>
      <c r="F551" s="55" t="s">
        <v>527</v>
      </c>
    </row>
    <row r="552" spans="1:6">
      <c r="A552" s="54">
        <v>40156</v>
      </c>
      <c r="B552" s="55">
        <v>28.658999999999999</v>
      </c>
      <c r="C552" s="55">
        <v>20.725999999999999</v>
      </c>
      <c r="D552" s="55">
        <v>24.843</v>
      </c>
      <c r="E552" s="55" t="s">
        <v>527</v>
      </c>
      <c r="F552" s="55" t="s">
        <v>527</v>
      </c>
    </row>
    <row r="553" spans="1:6">
      <c r="A553" s="54">
        <v>40157</v>
      </c>
      <c r="B553" s="55">
        <v>28.193999999999999</v>
      </c>
      <c r="C553" s="55">
        <v>20.678000000000001</v>
      </c>
      <c r="D553" s="55">
        <v>24.515000000000001</v>
      </c>
      <c r="E553" s="55" t="s">
        <v>527</v>
      </c>
      <c r="F553" s="55" t="s">
        <v>527</v>
      </c>
    </row>
    <row r="554" spans="1:6">
      <c r="A554" s="54">
        <v>40158</v>
      </c>
      <c r="B554" s="55">
        <v>36.981999999999999</v>
      </c>
      <c r="C554" s="55">
        <v>27.882000000000001</v>
      </c>
      <c r="D554" s="55">
        <v>32.777000000000001</v>
      </c>
      <c r="E554" s="55" t="s">
        <v>527</v>
      </c>
      <c r="F554" s="55" t="s">
        <v>527</v>
      </c>
    </row>
    <row r="555" spans="1:6">
      <c r="A555" s="54">
        <v>40159</v>
      </c>
      <c r="B555" s="55">
        <v>44.182000000000002</v>
      </c>
      <c r="C555" s="55">
        <v>31.411999999999999</v>
      </c>
      <c r="D555" s="55">
        <v>39.133000000000003</v>
      </c>
      <c r="E555" s="55" t="s">
        <v>527</v>
      </c>
      <c r="F555" s="55" t="s">
        <v>527</v>
      </c>
    </row>
    <row r="556" spans="1:6">
      <c r="A556" s="54">
        <v>40160</v>
      </c>
      <c r="B556" s="55">
        <v>36.357999999999997</v>
      </c>
      <c r="C556" s="55">
        <v>24.759</v>
      </c>
      <c r="D556" s="55">
        <v>32.113999999999997</v>
      </c>
      <c r="E556" s="55" t="s">
        <v>527</v>
      </c>
      <c r="F556" s="55" t="s">
        <v>527</v>
      </c>
    </row>
    <row r="557" spans="1:6">
      <c r="A557" s="54">
        <v>40161</v>
      </c>
      <c r="B557" s="55">
        <v>27.338000000000001</v>
      </c>
      <c r="C557" s="55">
        <v>19.962</v>
      </c>
      <c r="D557" s="55">
        <v>24.088999999999999</v>
      </c>
      <c r="E557" s="55" t="s">
        <v>527</v>
      </c>
      <c r="F557" s="55" t="s">
        <v>527</v>
      </c>
    </row>
    <row r="558" spans="1:6">
      <c r="A558" s="54">
        <v>40162</v>
      </c>
      <c r="B558" s="55">
        <v>28.881</v>
      </c>
      <c r="C558" s="55">
        <v>21.1</v>
      </c>
      <c r="D558" s="55">
        <v>25.186</v>
      </c>
      <c r="E558" s="55" t="s">
        <v>527</v>
      </c>
      <c r="F558" s="55" t="s">
        <v>527</v>
      </c>
    </row>
    <row r="559" spans="1:6">
      <c r="A559" s="54">
        <v>40163</v>
      </c>
      <c r="B559" s="55">
        <v>29.657</v>
      </c>
      <c r="C559" s="55">
        <v>21.687999999999999</v>
      </c>
      <c r="D559" s="55">
        <v>25.838000000000001</v>
      </c>
      <c r="E559" s="55" t="s">
        <v>527</v>
      </c>
      <c r="F559" s="55" t="s">
        <v>527</v>
      </c>
    </row>
    <row r="560" spans="1:6">
      <c r="A560" s="54">
        <v>40164</v>
      </c>
      <c r="B560" s="55">
        <v>30.303999999999998</v>
      </c>
      <c r="C560" s="55">
        <v>22.279</v>
      </c>
      <c r="D560" s="55">
        <v>25.902999999999999</v>
      </c>
      <c r="E560" s="55" t="s">
        <v>527</v>
      </c>
      <c r="F560" s="55" t="s">
        <v>527</v>
      </c>
    </row>
    <row r="561" spans="1:6">
      <c r="A561" s="54">
        <v>40165</v>
      </c>
      <c r="B561" s="55">
        <v>38.35</v>
      </c>
      <c r="C561" s="55">
        <v>28.457000000000001</v>
      </c>
      <c r="D561" s="55">
        <v>33.130000000000003</v>
      </c>
      <c r="E561" s="55" t="s">
        <v>527</v>
      </c>
      <c r="F561" s="55" t="s">
        <v>527</v>
      </c>
    </row>
    <row r="562" spans="1:6">
      <c r="A562" s="54">
        <v>40166</v>
      </c>
      <c r="B562" s="55">
        <v>43.045000000000002</v>
      </c>
      <c r="C562" s="55">
        <v>30.646999999999998</v>
      </c>
      <c r="D562" s="55">
        <v>37.234999999999999</v>
      </c>
      <c r="E562" s="55" t="s">
        <v>527</v>
      </c>
      <c r="F562" s="55" t="s">
        <v>527</v>
      </c>
    </row>
    <row r="563" spans="1:6">
      <c r="A563" s="54">
        <v>40167</v>
      </c>
      <c r="B563" s="55">
        <v>38.491</v>
      </c>
      <c r="C563" s="55">
        <v>26.547999999999998</v>
      </c>
      <c r="D563" s="55">
        <v>33.167000000000002</v>
      </c>
      <c r="E563" s="55" t="s">
        <v>527</v>
      </c>
      <c r="F563" s="55" t="s">
        <v>527</v>
      </c>
    </row>
    <row r="564" spans="1:6">
      <c r="A564" s="54">
        <v>40168</v>
      </c>
      <c r="B564" s="55">
        <v>37.284999999999997</v>
      </c>
      <c r="C564" s="55">
        <v>26.472000000000001</v>
      </c>
      <c r="D564" s="55">
        <v>31.763999999999999</v>
      </c>
      <c r="E564" s="55" t="s">
        <v>527</v>
      </c>
      <c r="F564" s="55" t="s">
        <v>527</v>
      </c>
    </row>
    <row r="565" spans="1:6">
      <c r="A565" s="54">
        <v>40169</v>
      </c>
      <c r="B565" s="55">
        <v>39.679000000000002</v>
      </c>
      <c r="C565" s="55">
        <v>28.084</v>
      </c>
      <c r="D565" s="55">
        <v>33.799999999999997</v>
      </c>
      <c r="E565" s="55" t="s">
        <v>527</v>
      </c>
      <c r="F565" s="55" t="s">
        <v>527</v>
      </c>
    </row>
    <row r="566" spans="1:6">
      <c r="A566" s="54">
        <v>40170</v>
      </c>
      <c r="B566" s="55">
        <v>40.743000000000002</v>
      </c>
      <c r="C566" s="55">
        <v>25.530999999999999</v>
      </c>
      <c r="D566" s="55">
        <v>35.164999999999999</v>
      </c>
      <c r="E566" s="55" t="s">
        <v>527</v>
      </c>
      <c r="F566" s="55" t="s">
        <v>527</v>
      </c>
    </row>
    <row r="567" spans="1:6">
      <c r="A567" s="54">
        <v>40171</v>
      </c>
      <c r="B567" s="55">
        <v>35.106000000000002</v>
      </c>
      <c r="C567" s="55">
        <v>21.018000000000001</v>
      </c>
      <c r="D567" s="55">
        <v>30.613</v>
      </c>
      <c r="E567" s="55" t="s">
        <v>527</v>
      </c>
      <c r="F567" s="55" t="s">
        <v>527</v>
      </c>
    </row>
    <row r="568" spans="1:6">
      <c r="A568" s="54">
        <v>40172</v>
      </c>
      <c r="B568" s="55">
        <v>29.437000000000001</v>
      </c>
      <c r="C568" s="55">
        <v>18.172999999999998</v>
      </c>
      <c r="D568" s="55">
        <v>25.896000000000001</v>
      </c>
      <c r="E568" s="55" t="s">
        <v>527</v>
      </c>
      <c r="F568" s="55" t="s">
        <v>527</v>
      </c>
    </row>
    <row r="569" spans="1:6">
      <c r="A569" s="54">
        <v>40173</v>
      </c>
      <c r="B569" s="55">
        <v>30.992999999999999</v>
      </c>
      <c r="C569" s="55">
        <v>18.722999999999999</v>
      </c>
      <c r="D569" s="55">
        <v>26.876000000000001</v>
      </c>
      <c r="E569" s="55" t="s">
        <v>527</v>
      </c>
      <c r="F569" s="55" t="s">
        <v>527</v>
      </c>
    </row>
    <row r="570" spans="1:6">
      <c r="A570" s="54">
        <v>40174</v>
      </c>
      <c r="B570" s="55">
        <v>29.53</v>
      </c>
      <c r="C570" s="55">
        <v>18.114999999999998</v>
      </c>
      <c r="D570" s="55">
        <v>25.722000000000001</v>
      </c>
      <c r="E570" s="55" t="s">
        <v>527</v>
      </c>
      <c r="F570" s="55" t="s">
        <v>527</v>
      </c>
    </row>
    <row r="571" spans="1:6">
      <c r="A571" s="54">
        <v>40175</v>
      </c>
      <c r="B571" s="55">
        <v>31.263999999999999</v>
      </c>
      <c r="C571" s="55">
        <v>19.102</v>
      </c>
      <c r="D571" s="55">
        <v>27.244</v>
      </c>
      <c r="E571" s="55" t="s">
        <v>527</v>
      </c>
      <c r="F571" s="55" t="s">
        <v>527</v>
      </c>
    </row>
    <row r="572" spans="1:6">
      <c r="A572" s="54">
        <v>40176</v>
      </c>
      <c r="B572" s="55">
        <v>31.917000000000002</v>
      </c>
      <c r="C572" s="55">
        <v>19.402999999999999</v>
      </c>
      <c r="D572" s="55">
        <v>27.722999999999999</v>
      </c>
      <c r="E572" s="55" t="s">
        <v>527</v>
      </c>
      <c r="F572" s="55" t="s">
        <v>527</v>
      </c>
    </row>
    <row r="573" spans="1:6">
      <c r="A573" s="54">
        <v>40177</v>
      </c>
      <c r="B573" s="55">
        <v>32.247</v>
      </c>
      <c r="C573" s="55">
        <v>19.654</v>
      </c>
      <c r="D573" s="55">
        <v>28.164999999999999</v>
      </c>
      <c r="E573" s="55" t="s">
        <v>527</v>
      </c>
      <c r="F573" s="55" t="s">
        <v>527</v>
      </c>
    </row>
    <row r="574" spans="1:6">
      <c r="A574" s="54">
        <v>40178</v>
      </c>
      <c r="B574" s="55">
        <v>35.770000000000003</v>
      </c>
      <c r="C574" s="55">
        <v>21.48</v>
      </c>
      <c r="D574" s="55">
        <v>31.696999999999999</v>
      </c>
      <c r="E574" s="55" t="s">
        <v>527</v>
      </c>
      <c r="F574" s="55" t="s">
        <v>527</v>
      </c>
    </row>
    <row r="575" spans="1:6">
      <c r="A575" s="56"/>
    </row>
    <row r="576" spans="1:6">
      <c r="A576" s="57" t="s">
        <v>553</v>
      </c>
    </row>
    <row r="577" spans="1:6">
      <c r="A577" s="57" t="s">
        <v>529</v>
      </c>
    </row>
    <row r="578" spans="1:6" ht="18">
      <c r="A578" s="58">
        <v>829.21400000000006</v>
      </c>
    </row>
    <row r="579" spans="1:6">
      <c r="A579" s="57" t="s">
        <v>531</v>
      </c>
    </row>
    <row r="580" spans="1:6">
      <c r="A580" s="59">
        <v>438.517</v>
      </c>
    </row>
    <row r="581" spans="1:6">
      <c r="A581" s="57" t="s">
        <v>533</v>
      </c>
    </row>
    <row r="582" spans="1:6">
      <c r="A582" s="60">
        <v>32509</v>
      </c>
    </row>
    <row r="583" spans="1:6">
      <c r="A583" s="61"/>
    </row>
    <row r="584" spans="1:6" ht="30">
      <c r="A584" s="52" t="s">
        <v>521</v>
      </c>
      <c r="B584" s="52" t="s">
        <v>522</v>
      </c>
      <c r="C584" s="52" t="s">
        <v>523</v>
      </c>
      <c r="D584" s="53" t="s">
        <v>524</v>
      </c>
      <c r="E584" s="53" t="s">
        <v>525</v>
      </c>
      <c r="F584" s="53" t="s">
        <v>526</v>
      </c>
    </row>
    <row r="585" spans="1:6">
      <c r="A585" s="54">
        <v>40179</v>
      </c>
      <c r="B585" s="55">
        <v>35.122</v>
      </c>
      <c r="C585" s="55">
        <v>21.2</v>
      </c>
      <c r="D585" s="55">
        <v>30.991</v>
      </c>
      <c r="E585" s="55" t="s">
        <v>527</v>
      </c>
      <c r="F585" s="55" t="s">
        <v>527</v>
      </c>
    </row>
    <row r="586" spans="1:6">
      <c r="A586" s="54">
        <v>40180</v>
      </c>
      <c r="B586" s="55">
        <v>34.662999999999997</v>
      </c>
      <c r="C586" s="55">
        <v>20.849</v>
      </c>
      <c r="D586" s="55">
        <v>30.347999999999999</v>
      </c>
      <c r="E586" s="55" t="s">
        <v>527</v>
      </c>
      <c r="F586" s="55" t="s">
        <v>527</v>
      </c>
    </row>
    <row r="587" spans="1:6">
      <c r="A587" s="54">
        <v>40181</v>
      </c>
      <c r="B587" s="55">
        <v>29.838000000000001</v>
      </c>
      <c r="C587" s="55">
        <v>17.638999999999999</v>
      </c>
      <c r="D587" s="55">
        <v>25.722999999999999</v>
      </c>
      <c r="E587" s="55" t="s">
        <v>527</v>
      </c>
      <c r="F587" s="55" t="s">
        <v>527</v>
      </c>
    </row>
    <row r="588" spans="1:6">
      <c r="A588" s="54">
        <v>40182</v>
      </c>
      <c r="B588" s="55">
        <v>24.626999999999999</v>
      </c>
      <c r="C588" s="55">
        <v>15.694000000000001</v>
      </c>
      <c r="D588" s="55">
        <v>21.385999999999999</v>
      </c>
      <c r="E588" s="55" t="s">
        <v>527</v>
      </c>
      <c r="F588" s="55" t="s">
        <v>527</v>
      </c>
    </row>
    <row r="589" spans="1:6">
      <c r="A589" s="54">
        <v>40183</v>
      </c>
      <c r="B589" s="55">
        <v>24.088999999999999</v>
      </c>
      <c r="C589" s="55">
        <v>15.297000000000001</v>
      </c>
      <c r="D589" s="55">
        <v>20.890999999999998</v>
      </c>
      <c r="E589" s="55" t="s">
        <v>527</v>
      </c>
      <c r="F589" s="55" t="s">
        <v>527</v>
      </c>
    </row>
    <row r="590" spans="1:6">
      <c r="A590" s="54">
        <v>40184</v>
      </c>
      <c r="B590" s="55">
        <v>24.379000000000001</v>
      </c>
      <c r="C590" s="55">
        <v>15.379</v>
      </c>
      <c r="D590" s="55">
        <v>21.134</v>
      </c>
      <c r="E590" s="55" t="s">
        <v>527</v>
      </c>
      <c r="F590" s="55" t="s">
        <v>527</v>
      </c>
    </row>
    <row r="591" spans="1:6">
      <c r="A591" s="54">
        <v>40185</v>
      </c>
      <c r="B591" s="55">
        <v>24.552</v>
      </c>
      <c r="C591" s="55">
        <v>15.587999999999999</v>
      </c>
      <c r="D591" s="55">
        <v>21.065999999999999</v>
      </c>
      <c r="E591" s="55" t="s">
        <v>527</v>
      </c>
      <c r="F591" s="55" t="s">
        <v>527</v>
      </c>
    </row>
    <row r="592" spans="1:6">
      <c r="A592" s="54">
        <v>40186</v>
      </c>
      <c r="B592" s="55">
        <v>32.015000000000001</v>
      </c>
      <c r="C592" s="55">
        <v>20.045000000000002</v>
      </c>
      <c r="D592" s="55">
        <v>27.98</v>
      </c>
      <c r="E592" s="55" t="s">
        <v>527</v>
      </c>
      <c r="F592" s="55" t="s">
        <v>527</v>
      </c>
    </row>
    <row r="593" spans="1:6">
      <c r="A593" s="54">
        <v>40187</v>
      </c>
      <c r="B593" s="55">
        <v>36.203000000000003</v>
      </c>
      <c r="C593" s="55">
        <v>22.213999999999999</v>
      </c>
      <c r="D593" s="55">
        <v>31.472999999999999</v>
      </c>
      <c r="E593" s="55" t="s">
        <v>527</v>
      </c>
      <c r="F593" s="55" t="s">
        <v>527</v>
      </c>
    </row>
    <row r="594" spans="1:6">
      <c r="A594" s="54">
        <v>40188</v>
      </c>
      <c r="B594" s="55">
        <v>29.588999999999999</v>
      </c>
      <c r="C594" s="55">
        <v>18.149000000000001</v>
      </c>
      <c r="D594" s="55">
        <v>25.356999999999999</v>
      </c>
      <c r="E594" s="55" t="s">
        <v>527</v>
      </c>
      <c r="F594" s="55" t="s">
        <v>527</v>
      </c>
    </row>
    <row r="595" spans="1:6">
      <c r="A595" s="54">
        <v>40189</v>
      </c>
      <c r="B595" s="55">
        <v>22.419</v>
      </c>
      <c r="C595" s="55">
        <v>14.394</v>
      </c>
      <c r="D595" s="55">
        <v>19.416</v>
      </c>
      <c r="E595" s="55" t="s">
        <v>527</v>
      </c>
      <c r="F595" s="55" t="s">
        <v>527</v>
      </c>
    </row>
    <row r="596" spans="1:6">
      <c r="A596" s="54">
        <v>40190</v>
      </c>
      <c r="B596" s="55">
        <v>23.553000000000001</v>
      </c>
      <c r="C596" s="55">
        <v>15.003</v>
      </c>
      <c r="D596" s="55">
        <v>20.231000000000002</v>
      </c>
      <c r="E596" s="55" t="s">
        <v>527</v>
      </c>
      <c r="F596" s="55" t="s">
        <v>527</v>
      </c>
    </row>
    <row r="597" spans="1:6">
      <c r="A597" s="54">
        <v>40191</v>
      </c>
      <c r="B597" s="55">
        <v>24.530999999999999</v>
      </c>
      <c r="C597" s="55">
        <v>15.532</v>
      </c>
      <c r="D597" s="55">
        <v>21.113</v>
      </c>
      <c r="E597" s="55" t="s">
        <v>527</v>
      </c>
      <c r="F597" s="55" t="s">
        <v>527</v>
      </c>
    </row>
    <row r="598" spans="1:6">
      <c r="A598" s="54">
        <v>40192</v>
      </c>
      <c r="B598" s="55">
        <v>25.05</v>
      </c>
      <c r="C598" s="55">
        <v>15.972</v>
      </c>
      <c r="D598" s="55">
        <v>21.756</v>
      </c>
      <c r="E598" s="55" t="s">
        <v>527</v>
      </c>
      <c r="F598" s="55" t="s">
        <v>527</v>
      </c>
    </row>
    <row r="599" spans="1:6">
      <c r="A599" s="54">
        <v>40193</v>
      </c>
      <c r="B599" s="55">
        <v>34.253999999999998</v>
      </c>
      <c r="C599" s="55">
        <v>21.768000000000001</v>
      </c>
      <c r="D599" s="55">
        <v>29.678000000000001</v>
      </c>
      <c r="E599" s="55" t="s">
        <v>527</v>
      </c>
      <c r="F599" s="55" t="s">
        <v>527</v>
      </c>
    </row>
    <row r="600" spans="1:6">
      <c r="A600" s="54">
        <v>40194</v>
      </c>
      <c r="B600" s="55">
        <v>40.122</v>
      </c>
      <c r="C600" s="55">
        <v>24.088999999999999</v>
      </c>
      <c r="D600" s="55">
        <v>34.838000000000001</v>
      </c>
      <c r="E600" s="55" t="s">
        <v>527</v>
      </c>
      <c r="F600" s="55" t="s">
        <v>527</v>
      </c>
    </row>
    <row r="601" spans="1:6">
      <c r="A601" s="54">
        <v>40195</v>
      </c>
      <c r="B601" s="55">
        <v>33.405999999999999</v>
      </c>
      <c r="C601" s="55">
        <v>20.363</v>
      </c>
      <c r="D601" s="55">
        <v>28.928000000000001</v>
      </c>
      <c r="E601" s="55" t="s">
        <v>527</v>
      </c>
      <c r="F601" s="55" t="s">
        <v>527</v>
      </c>
    </row>
    <row r="602" spans="1:6">
      <c r="A602" s="54">
        <v>40196</v>
      </c>
      <c r="B602" s="55">
        <v>28.959</v>
      </c>
      <c r="C602" s="55">
        <v>17.786999999999999</v>
      </c>
      <c r="D602" s="55">
        <v>24.805</v>
      </c>
      <c r="E602" s="55" t="s">
        <v>527</v>
      </c>
      <c r="F602" s="55" t="s">
        <v>527</v>
      </c>
    </row>
    <row r="603" spans="1:6">
      <c r="A603" s="54">
        <v>40197</v>
      </c>
      <c r="B603" s="55">
        <v>26.100999999999999</v>
      </c>
      <c r="C603" s="55">
        <v>16.687000000000001</v>
      </c>
      <c r="D603" s="55">
        <v>22.552</v>
      </c>
      <c r="E603" s="55" t="s">
        <v>527</v>
      </c>
      <c r="F603" s="55" t="s">
        <v>527</v>
      </c>
    </row>
    <row r="604" spans="1:6">
      <c r="A604" s="54">
        <v>40198</v>
      </c>
      <c r="B604" s="55">
        <v>28.349</v>
      </c>
      <c r="C604" s="55">
        <v>18.283999999999999</v>
      </c>
      <c r="D604" s="55">
        <v>24.67</v>
      </c>
      <c r="E604" s="55" t="s">
        <v>527</v>
      </c>
      <c r="F604" s="55" t="s">
        <v>527</v>
      </c>
    </row>
    <row r="605" spans="1:6">
      <c r="A605" s="54">
        <v>40199</v>
      </c>
      <c r="B605" s="55">
        <v>30.544</v>
      </c>
      <c r="C605" s="55">
        <v>19.788</v>
      </c>
      <c r="D605" s="55">
        <v>26.608000000000001</v>
      </c>
      <c r="E605" s="55" t="s">
        <v>527</v>
      </c>
      <c r="F605" s="55" t="s">
        <v>527</v>
      </c>
    </row>
    <row r="606" spans="1:6">
      <c r="A606" s="54">
        <v>40200</v>
      </c>
      <c r="B606" s="55">
        <v>37.954999999999998</v>
      </c>
      <c r="C606" s="55">
        <v>24.282</v>
      </c>
      <c r="D606" s="55">
        <v>32.883000000000003</v>
      </c>
      <c r="E606" s="55" t="s">
        <v>527</v>
      </c>
      <c r="F606" s="55" t="s">
        <v>527</v>
      </c>
    </row>
    <row r="607" spans="1:6">
      <c r="A607" s="54">
        <v>40201</v>
      </c>
      <c r="B607" s="55">
        <v>41.515999999999998</v>
      </c>
      <c r="C607" s="55">
        <v>25.524000000000001</v>
      </c>
      <c r="D607" s="55">
        <v>36.039000000000001</v>
      </c>
      <c r="E607" s="55" t="s">
        <v>527</v>
      </c>
      <c r="F607" s="55" t="s">
        <v>527</v>
      </c>
    </row>
    <row r="608" spans="1:6">
      <c r="A608" s="54">
        <v>40202</v>
      </c>
      <c r="B608" s="55">
        <v>35.338000000000001</v>
      </c>
      <c r="C608" s="55">
        <v>21.425000000000001</v>
      </c>
      <c r="D608" s="55">
        <v>30.46</v>
      </c>
      <c r="E608" s="55" t="s">
        <v>527</v>
      </c>
      <c r="F608" s="55" t="s">
        <v>527</v>
      </c>
    </row>
    <row r="609" spans="1:6">
      <c r="A609" s="54">
        <v>40203</v>
      </c>
      <c r="B609" s="55">
        <v>28.175999999999998</v>
      </c>
      <c r="C609" s="55">
        <v>17.998000000000001</v>
      </c>
      <c r="D609" s="55">
        <v>24.312000000000001</v>
      </c>
      <c r="E609" s="55" t="s">
        <v>527</v>
      </c>
      <c r="F609" s="55" t="s">
        <v>527</v>
      </c>
    </row>
    <row r="610" spans="1:6">
      <c r="A610" s="54">
        <v>40204</v>
      </c>
      <c r="B610" s="55">
        <v>29.032</v>
      </c>
      <c r="C610" s="55">
        <v>18.559000000000001</v>
      </c>
      <c r="D610" s="55">
        <v>24.797999999999998</v>
      </c>
      <c r="E610" s="55" t="s">
        <v>527</v>
      </c>
      <c r="F610" s="55" t="s">
        <v>527</v>
      </c>
    </row>
    <row r="611" spans="1:6">
      <c r="A611" s="54">
        <v>40205</v>
      </c>
      <c r="B611" s="55">
        <v>29.539000000000001</v>
      </c>
      <c r="C611" s="55">
        <v>18.931999999999999</v>
      </c>
      <c r="D611" s="55">
        <v>24.715</v>
      </c>
      <c r="E611" s="55" t="s">
        <v>527</v>
      </c>
      <c r="F611" s="55" t="s">
        <v>527</v>
      </c>
    </row>
    <row r="612" spans="1:6">
      <c r="A612" s="54">
        <v>40206</v>
      </c>
      <c r="B612" s="55">
        <v>29.823</v>
      </c>
      <c r="C612" s="55">
        <v>19.023</v>
      </c>
      <c r="D612" s="55">
        <v>25.524000000000001</v>
      </c>
      <c r="E612" s="55" t="s">
        <v>527</v>
      </c>
      <c r="F612" s="55" t="s">
        <v>527</v>
      </c>
    </row>
    <row r="613" spans="1:6">
      <c r="A613" s="54">
        <v>40207</v>
      </c>
      <c r="B613" s="55">
        <v>38.686999999999998</v>
      </c>
      <c r="C613" s="55">
        <v>24.533000000000001</v>
      </c>
      <c r="D613" s="55">
        <v>32.914000000000001</v>
      </c>
      <c r="E613" s="55" t="s">
        <v>527</v>
      </c>
      <c r="F613" s="55" t="s">
        <v>527</v>
      </c>
    </row>
    <row r="614" spans="1:6">
      <c r="A614" s="54">
        <v>40208</v>
      </c>
      <c r="B614" s="55">
        <v>42.725999999999999</v>
      </c>
      <c r="C614" s="55">
        <v>26.306999999999999</v>
      </c>
      <c r="D614" s="55">
        <v>36.343000000000004</v>
      </c>
      <c r="E614" s="55" t="s">
        <v>527</v>
      </c>
      <c r="F614" s="55" t="s">
        <v>527</v>
      </c>
    </row>
    <row r="615" spans="1:6">
      <c r="A615" s="54">
        <v>40209</v>
      </c>
      <c r="B615" s="55">
        <v>34.981000000000002</v>
      </c>
      <c r="C615" s="55">
        <v>21.248999999999999</v>
      </c>
      <c r="D615" s="55">
        <v>30.282</v>
      </c>
      <c r="E615" s="55" t="s">
        <v>527</v>
      </c>
      <c r="F615" s="55" t="s">
        <v>527</v>
      </c>
    </row>
    <row r="616" spans="1:6">
      <c r="A616" s="56"/>
    </row>
    <row r="617" spans="1:6">
      <c r="A617" s="57" t="s">
        <v>554</v>
      </c>
    </row>
    <row r="618" spans="1:6">
      <c r="A618" s="57" t="s">
        <v>529</v>
      </c>
    </row>
    <row r="619" spans="1:6" ht="18">
      <c r="A619" s="58">
        <v>730.46299999999997</v>
      </c>
    </row>
    <row r="620" spans="1:6">
      <c r="A620" s="57" t="s">
        <v>531</v>
      </c>
    </row>
    <row r="621" spans="1:6">
      <c r="A621" s="59">
        <v>398.93599999999998</v>
      </c>
    </row>
    <row r="622" spans="1:6">
      <c r="A622" s="57" t="s">
        <v>533</v>
      </c>
    </row>
    <row r="623" spans="1:6">
      <c r="A623" s="60">
        <v>30317</v>
      </c>
    </row>
    <row r="624" spans="1:6">
      <c r="A624" s="61"/>
    </row>
    <row r="625" spans="1:6" ht="30">
      <c r="A625" s="52" t="s">
        <v>521</v>
      </c>
      <c r="B625" s="52" t="s">
        <v>522</v>
      </c>
      <c r="C625" s="52" t="s">
        <v>523</v>
      </c>
      <c r="D625" s="53" t="s">
        <v>524</v>
      </c>
      <c r="E625" s="53" t="s">
        <v>525</v>
      </c>
      <c r="F625" s="53" t="s">
        <v>526</v>
      </c>
    </row>
    <row r="626" spans="1:6">
      <c r="A626" s="54">
        <v>40210</v>
      </c>
      <c r="B626" s="55">
        <v>27.010999999999999</v>
      </c>
      <c r="C626" s="55">
        <v>16.925999999999998</v>
      </c>
      <c r="D626" s="55">
        <v>23</v>
      </c>
      <c r="E626" s="55" t="s">
        <v>527</v>
      </c>
      <c r="F626" s="55" t="s">
        <v>527</v>
      </c>
    </row>
    <row r="627" spans="1:6">
      <c r="A627" s="54">
        <v>40211</v>
      </c>
      <c r="B627" s="55">
        <v>27.064</v>
      </c>
      <c r="C627" s="55">
        <v>17.05</v>
      </c>
      <c r="D627" s="55">
        <v>23.081</v>
      </c>
      <c r="E627" s="55" t="s">
        <v>527</v>
      </c>
      <c r="F627" s="55" t="s">
        <v>527</v>
      </c>
    </row>
    <row r="628" spans="1:6">
      <c r="A628" s="54">
        <v>40212</v>
      </c>
      <c r="B628" s="55">
        <v>28.225000000000001</v>
      </c>
      <c r="C628" s="55">
        <v>17.559999999999999</v>
      </c>
      <c r="D628" s="55">
        <v>23.803000000000001</v>
      </c>
      <c r="E628" s="55" t="s">
        <v>527</v>
      </c>
      <c r="F628" s="55" t="s">
        <v>527</v>
      </c>
    </row>
    <row r="629" spans="1:6">
      <c r="A629" s="54">
        <v>40213</v>
      </c>
      <c r="B629" s="55">
        <v>25.866</v>
      </c>
      <c r="C629" s="55">
        <v>15.98</v>
      </c>
      <c r="D629" s="55">
        <v>22.102</v>
      </c>
      <c r="E629" s="55" t="s">
        <v>527</v>
      </c>
      <c r="F629" s="55" t="s">
        <v>527</v>
      </c>
    </row>
    <row r="630" spans="1:6">
      <c r="A630" s="54">
        <v>40214</v>
      </c>
      <c r="B630" s="55">
        <v>30.744</v>
      </c>
      <c r="C630" s="55">
        <v>19.379000000000001</v>
      </c>
      <c r="D630" s="55">
        <v>26.192</v>
      </c>
      <c r="E630" s="55" t="s">
        <v>527</v>
      </c>
      <c r="F630" s="55" t="s">
        <v>527</v>
      </c>
    </row>
    <row r="631" spans="1:6">
      <c r="A631" s="54">
        <v>40215</v>
      </c>
      <c r="B631" s="55">
        <v>41.872999999999998</v>
      </c>
      <c r="C631" s="55">
        <v>24.890999999999998</v>
      </c>
      <c r="D631" s="55">
        <v>36.003</v>
      </c>
      <c r="E631" s="55" t="s">
        <v>527</v>
      </c>
      <c r="F631" s="55" t="s">
        <v>527</v>
      </c>
    </row>
    <row r="632" spans="1:6">
      <c r="A632" s="54">
        <v>40216</v>
      </c>
      <c r="B632" s="55">
        <v>34.161999999999999</v>
      </c>
      <c r="C632" s="55">
        <v>20.48</v>
      </c>
      <c r="D632" s="55">
        <v>29.163</v>
      </c>
      <c r="E632" s="55" t="s">
        <v>527</v>
      </c>
      <c r="F632" s="55" t="s">
        <v>527</v>
      </c>
    </row>
    <row r="633" spans="1:6">
      <c r="A633" s="54">
        <v>40217</v>
      </c>
      <c r="B633" s="55">
        <v>27.178999999999998</v>
      </c>
      <c r="C633" s="55">
        <v>17.382000000000001</v>
      </c>
      <c r="D633" s="55">
        <v>23.350999999999999</v>
      </c>
      <c r="E633" s="55" t="s">
        <v>527</v>
      </c>
      <c r="F633" s="55" t="s">
        <v>527</v>
      </c>
    </row>
    <row r="634" spans="1:6">
      <c r="A634" s="54">
        <v>40218</v>
      </c>
      <c r="B634" s="55">
        <v>28.951000000000001</v>
      </c>
      <c r="C634" s="55">
        <v>18.542000000000002</v>
      </c>
      <c r="D634" s="55">
        <v>24.297000000000001</v>
      </c>
      <c r="E634" s="55" t="s">
        <v>527</v>
      </c>
      <c r="F634" s="55" t="s">
        <v>527</v>
      </c>
    </row>
    <row r="635" spans="1:6">
      <c r="A635" s="54">
        <v>40219</v>
      </c>
      <c r="B635" s="55">
        <v>29.870999999999999</v>
      </c>
      <c r="C635" s="55">
        <v>18.98</v>
      </c>
      <c r="D635" s="55">
        <v>19.641999999999999</v>
      </c>
      <c r="E635" s="55" t="s">
        <v>527</v>
      </c>
      <c r="F635" s="55" t="s">
        <v>527</v>
      </c>
    </row>
    <row r="636" spans="1:6">
      <c r="A636" s="54">
        <v>40220</v>
      </c>
      <c r="B636" s="55">
        <v>30.962</v>
      </c>
      <c r="C636" s="55">
        <v>19.309000000000001</v>
      </c>
      <c r="D636" s="55">
        <v>24.672000000000001</v>
      </c>
      <c r="E636" s="55" t="s">
        <v>527</v>
      </c>
      <c r="F636" s="55" t="s">
        <v>527</v>
      </c>
    </row>
    <row r="637" spans="1:6">
      <c r="A637" s="54">
        <v>40221</v>
      </c>
      <c r="B637" s="55">
        <v>36.954000000000001</v>
      </c>
      <c r="C637" s="55">
        <v>23.491</v>
      </c>
      <c r="D637" s="55">
        <v>31.437999999999999</v>
      </c>
      <c r="E637" s="55" t="s">
        <v>527</v>
      </c>
      <c r="F637" s="55" t="s">
        <v>527</v>
      </c>
    </row>
    <row r="638" spans="1:6">
      <c r="A638" s="54">
        <v>40222</v>
      </c>
      <c r="B638" s="55">
        <v>41.145000000000003</v>
      </c>
      <c r="C638" s="55">
        <v>25.132999999999999</v>
      </c>
      <c r="D638" s="55">
        <v>34.957999999999998</v>
      </c>
      <c r="E638" s="55" t="s">
        <v>527</v>
      </c>
      <c r="F638" s="55" t="s">
        <v>527</v>
      </c>
    </row>
    <row r="639" spans="1:6">
      <c r="A639" s="54">
        <v>40223</v>
      </c>
      <c r="B639" s="55">
        <v>35.881</v>
      </c>
      <c r="C639" s="55">
        <v>22.094000000000001</v>
      </c>
      <c r="D639" s="55">
        <v>30.161999999999999</v>
      </c>
      <c r="E639" s="55" t="s">
        <v>527</v>
      </c>
      <c r="F639" s="55" t="s">
        <v>527</v>
      </c>
    </row>
    <row r="640" spans="1:6">
      <c r="A640" s="54">
        <v>40224</v>
      </c>
      <c r="B640" s="55">
        <v>33.012999999999998</v>
      </c>
      <c r="C640" s="55">
        <v>20.698</v>
      </c>
      <c r="D640" s="55">
        <v>27.777000000000001</v>
      </c>
      <c r="E640" s="55" t="s">
        <v>527</v>
      </c>
      <c r="F640" s="55" t="s">
        <v>527</v>
      </c>
    </row>
    <row r="641" spans="1:6">
      <c r="A641" s="54">
        <v>40225</v>
      </c>
      <c r="B641" s="55">
        <v>30.19</v>
      </c>
      <c r="C641" s="55">
        <v>19.027000000000001</v>
      </c>
      <c r="D641" s="55">
        <v>25.210999999999999</v>
      </c>
      <c r="E641" s="55" t="s">
        <v>527</v>
      </c>
      <c r="F641" s="55" t="s">
        <v>527</v>
      </c>
    </row>
    <row r="642" spans="1:6">
      <c r="A642" s="54">
        <v>40226</v>
      </c>
      <c r="B642" s="55">
        <v>29.521000000000001</v>
      </c>
      <c r="C642" s="55">
        <v>19.027000000000001</v>
      </c>
      <c r="D642" s="55">
        <v>24.794</v>
      </c>
      <c r="E642" s="55" t="s">
        <v>527</v>
      </c>
      <c r="F642" s="55" t="s">
        <v>527</v>
      </c>
    </row>
    <row r="643" spans="1:6">
      <c r="A643" s="54">
        <v>40227</v>
      </c>
      <c r="B643" s="55">
        <v>29.899000000000001</v>
      </c>
      <c r="C643" s="55">
        <v>18.989000000000001</v>
      </c>
      <c r="D643" s="55">
        <v>24.943000000000001</v>
      </c>
      <c r="E643" s="55" t="s">
        <v>527</v>
      </c>
      <c r="F643" s="55" t="s">
        <v>527</v>
      </c>
    </row>
    <row r="644" spans="1:6">
      <c r="A644" s="54">
        <v>40228</v>
      </c>
      <c r="B644" s="55">
        <v>35.104999999999997</v>
      </c>
      <c r="C644" s="55">
        <v>22.183</v>
      </c>
      <c r="D644" s="55">
        <v>29.384</v>
      </c>
      <c r="E644" s="55" t="s">
        <v>527</v>
      </c>
      <c r="F644" s="55" t="s">
        <v>527</v>
      </c>
    </row>
    <row r="645" spans="1:6">
      <c r="A645" s="54">
        <v>40229</v>
      </c>
      <c r="B645" s="55">
        <v>36.286000000000001</v>
      </c>
      <c r="C645" s="55">
        <v>21.59</v>
      </c>
      <c r="D645" s="55">
        <v>29.754000000000001</v>
      </c>
      <c r="E645" s="55" t="s">
        <v>527</v>
      </c>
      <c r="F645" s="55" t="s">
        <v>527</v>
      </c>
    </row>
    <row r="646" spans="1:6">
      <c r="A646" s="54">
        <v>40230</v>
      </c>
      <c r="B646" s="55">
        <v>32.728999999999999</v>
      </c>
      <c r="C646" s="55">
        <v>19.79</v>
      </c>
      <c r="D646" s="55">
        <v>27.039000000000001</v>
      </c>
      <c r="E646" s="55" t="s">
        <v>527</v>
      </c>
      <c r="F646" s="55" t="s">
        <v>527</v>
      </c>
    </row>
    <row r="647" spans="1:6">
      <c r="A647" s="54">
        <v>40231</v>
      </c>
      <c r="B647" s="55">
        <v>25.41</v>
      </c>
      <c r="C647" s="55">
        <v>16.321000000000002</v>
      </c>
      <c r="D647" s="55">
        <v>21.268999999999998</v>
      </c>
      <c r="E647" s="55" t="s">
        <v>527</v>
      </c>
      <c r="F647" s="55" t="s">
        <v>527</v>
      </c>
    </row>
    <row r="648" spans="1:6">
      <c r="A648" s="54">
        <v>40232</v>
      </c>
      <c r="B648" s="55">
        <v>24.821999999999999</v>
      </c>
      <c r="C648" s="55">
        <v>16.091999999999999</v>
      </c>
      <c r="D648" s="55">
        <v>20.719000000000001</v>
      </c>
      <c r="E648" s="55" t="s">
        <v>527</v>
      </c>
      <c r="F648" s="55" t="s">
        <v>527</v>
      </c>
    </row>
    <row r="649" spans="1:6">
      <c r="A649" s="54">
        <v>40233</v>
      </c>
      <c r="B649" s="55">
        <v>25.949000000000002</v>
      </c>
      <c r="C649" s="55">
        <v>16.41</v>
      </c>
      <c r="D649" s="55">
        <v>21.684000000000001</v>
      </c>
      <c r="E649" s="55" t="s">
        <v>527</v>
      </c>
      <c r="F649" s="55" t="s">
        <v>527</v>
      </c>
    </row>
    <row r="650" spans="1:6">
      <c r="A650" s="54">
        <v>40234</v>
      </c>
      <c r="B650" s="55">
        <v>25.756</v>
      </c>
      <c r="C650" s="55">
        <v>16.164000000000001</v>
      </c>
      <c r="D650" s="55">
        <v>21.065999999999999</v>
      </c>
      <c r="E650" s="55" t="s">
        <v>527</v>
      </c>
      <c r="F650" s="55" t="s">
        <v>527</v>
      </c>
    </row>
    <row r="651" spans="1:6">
      <c r="A651" s="54">
        <v>40235</v>
      </c>
      <c r="B651" s="55">
        <v>32.847999999999999</v>
      </c>
      <c r="C651" s="55">
        <v>20.946000000000002</v>
      </c>
      <c r="D651" s="55">
        <v>27.196999999999999</v>
      </c>
      <c r="E651" s="55" t="s">
        <v>527</v>
      </c>
      <c r="F651" s="55" t="s">
        <v>527</v>
      </c>
    </row>
    <row r="652" spans="1:6">
      <c r="A652" s="54">
        <v>40236</v>
      </c>
      <c r="B652" s="55">
        <v>37.963000000000001</v>
      </c>
      <c r="C652" s="55">
        <v>22.795999999999999</v>
      </c>
      <c r="D652" s="55">
        <v>31.494</v>
      </c>
      <c r="E652" s="55" t="s">
        <v>527</v>
      </c>
      <c r="F652" s="55" t="s">
        <v>527</v>
      </c>
    </row>
    <row r="653" spans="1:6">
      <c r="A653" s="54">
        <v>40237</v>
      </c>
      <c r="B653" s="55">
        <v>32.07</v>
      </c>
      <c r="C653" s="55">
        <v>18.774000000000001</v>
      </c>
      <c r="D653" s="55">
        <v>26.268000000000001</v>
      </c>
      <c r="E653" s="55" t="s">
        <v>527</v>
      </c>
      <c r="F653" s="55" t="s">
        <v>527</v>
      </c>
    </row>
    <row r="654" spans="1:6">
      <c r="A654" s="56"/>
    </row>
    <row r="655" spans="1:6">
      <c r="A655" s="57" t="s">
        <v>555</v>
      </c>
    </row>
    <row r="656" spans="1:6">
      <c r="A656" s="57" t="s">
        <v>529</v>
      </c>
    </row>
    <row r="657" spans="1:6" ht="18">
      <c r="A657" s="58">
        <v>731.28</v>
      </c>
    </row>
    <row r="658" spans="1:6">
      <c r="A658" s="57" t="s">
        <v>531</v>
      </c>
    </row>
    <row r="659" spans="1:6">
      <c r="A659" s="59">
        <v>390.46</v>
      </c>
    </row>
    <row r="660" spans="1:6">
      <c r="A660" s="57" t="s">
        <v>533</v>
      </c>
    </row>
    <row r="661" spans="1:6">
      <c r="A661" s="60">
        <v>31778</v>
      </c>
    </row>
    <row r="662" spans="1:6">
      <c r="A662" s="61"/>
    </row>
    <row r="663" spans="1:6" ht="30">
      <c r="A663" s="52" t="s">
        <v>521</v>
      </c>
      <c r="B663" s="52" t="s">
        <v>522</v>
      </c>
      <c r="C663" s="52" t="s">
        <v>523</v>
      </c>
      <c r="D663" s="53" t="s">
        <v>524</v>
      </c>
      <c r="E663" s="53" t="s">
        <v>525</v>
      </c>
      <c r="F663" s="53" t="s">
        <v>526</v>
      </c>
    </row>
    <row r="664" spans="1:6">
      <c r="A664" s="54">
        <v>40238</v>
      </c>
      <c r="B664" s="55">
        <v>22.974</v>
      </c>
      <c r="C664" s="55">
        <v>14.417999999999999</v>
      </c>
      <c r="D664" s="55">
        <v>18.690999999999999</v>
      </c>
      <c r="E664" s="55" t="s">
        <v>527</v>
      </c>
      <c r="F664" s="55" t="s">
        <v>527</v>
      </c>
    </row>
    <row r="665" spans="1:6">
      <c r="A665" s="54">
        <v>40239</v>
      </c>
      <c r="B665" s="55">
        <v>22.675000000000001</v>
      </c>
      <c r="C665" s="55">
        <v>14.847</v>
      </c>
      <c r="D665" s="55">
        <v>19.047999999999998</v>
      </c>
      <c r="E665" s="55" t="s">
        <v>527</v>
      </c>
      <c r="F665" s="55" t="s">
        <v>527</v>
      </c>
    </row>
    <row r="666" spans="1:6">
      <c r="A666" s="54">
        <v>40240</v>
      </c>
      <c r="B666" s="55">
        <v>23.204999999999998</v>
      </c>
      <c r="C666" s="55">
        <v>15.012</v>
      </c>
      <c r="D666" s="55">
        <v>19.283999999999999</v>
      </c>
      <c r="E666" s="55" t="s">
        <v>527</v>
      </c>
      <c r="F666" s="55" t="s">
        <v>527</v>
      </c>
    </row>
    <row r="667" spans="1:6">
      <c r="A667" s="54">
        <v>40241</v>
      </c>
      <c r="B667" s="55">
        <v>24.388999999999999</v>
      </c>
      <c r="C667" s="55">
        <v>15.603</v>
      </c>
      <c r="D667" s="55">
        <v>20.347000000000001</v>
      </c>
      <c r="E667" s="55" t="s">
        <v>527</v>
      </c>
      <c r="F667" s="55" t="s">
        <v>527</v>
      </c>
    </row>
    <row r="668" spans="1:6">
      <c r="A668" s="54">
        <v>40242</v>
      </c>
      <c r="B668" s="55">
        <v>32.877000000000002</v>
      </c>
      <c r="C668" s="55">
        <v>20.571000000000002</v>
      </c>
      <c r="D668" s="55">
        <v>27.475000000000001</v>
      </c>
      <c r="E668" s="55" t="s">
        <v>527</v>
      </c>
      <c r="F668" s="55" t="s">
        <v>527</v>
      </c>
    </row>
    <row r="669" spans="1:6">
      <c r="A669" s="54">
        <v>40243</v>
      </c>
      <c r="B669" s="55">
        <v>41.664999999999999</v>
      </c>
      <c r="C669" s="55">
        <v>23.399000000000001</v>
      </c>
      <c r="D669" s="55">
        <v>32.445</v>
      </c>
      <c r="E669" s="55" t="s">
        <v>527</v>
      </c>
      <c r="F669" s="55" t="s">
        <v>527</v>
      </c>
    </row>
    <row r="670" spans="1:6">
      <c r="A670" s="54">
        <v>40244</v>
      </c>
      <c r="B670" s="55">
        <v>32.091999999999999</v>
      </c>
      <c r="C670" s="55">
        <v>18.594000000000001</v>
      </c>
      <c r="D670" s="55">
        <v>25.681999999999999</v>
      </c>
      <c r="E670" s="55" t="s">
        <v>527</v>
      </c>
      <c r="F670" s="55" t="s">
        <v>527</v>
      </c>
    </row>
    <row r="671" spans="1:6">
      <c r="A671" s="54">
        <v>40245</v>
      </c>
      <c r="B671" s="55">
        <v>25.608000000000001</v>
      </c>
      <c r="C671" s="55">
        <v>14.956</v>
      </c>
      <c r="D671" s="55">
        <v>19.204000000000001</v>
      </c>
      <c r="E671" s="55" t="s">
        <v>527</v>
      </c>
      <c r="F671" s="55" t="s">
        <v>527</v>
      </c>
    </row>
    <row r="672" spans="1:6">
      <c r="A672" s="54">
        <v>40246</v>
      </c>
      <c r="B672" s="55">
        <v>24.44</v>
      </c>
      <c r="C672" s="55">
        <v>14.525</v>
      </c>
      <c r="D672" s="55">
        <v>18.526</v>
      </c>
      <c r="E672" s="55" t="s">
        <v>527</v>
      </c>
      <c r="F672" s="55" t="s">
        <v>527</v>
      </c>
    </row>
    <row r="673" spans="1:6">
      <c r="A673" s="54">
        <v>40247</v>
      </c>
      <c r="B673" s="55">
        <v>24.11</v>
      </c>
      <c r="C673" s="55">
        <v>15.109</v>
      </c>
      <c r="D673" s="55">
        <v>19.423999999999999</v>
      </c>
      <c r="E673" s="55" t="s">
        <v>527</v>
      </c>
      <c r="F673" s="55" t="s">
        <v>527</v>
      </c>
    </row>
    <row r="674" spans="1:6">
      <c r="A674" s="54">
        <v>40248</v>
      </c>
      <c r="B674" s="55">
        <v>24.192</v>
      </c>
      <c r="C674" s="55">
        <v>15.614000000000001</v>
      </c>
      <c r="D674" s="55">
        <v>19.829999999999998</v>
      </c>
      <c r="E674" s="55" t="s">
        <v>527</v>
      </c>
      <c r="F674" s="55" t="s">
        <v>527</v>
      </c>
    </row>
    <row r="675" spans="1:6">
      <c r="A675" s="54">
        <v>40249</v>
      </c>
      <c r="B675" s="55">
        <v>32.682000000000002</v>
      </c>
      <c r="C675" s="55">
        <v>20.672999999999998</v>
      </c>
      <c r="D675" s="55">
        <v>27.321000000000002</v>
      </c>
      <c r="E675" s="55" t="s">
        <v>527</v>
      </c>
      <c r="F675" s="55" t="s">
        <v>527</v>
      </c>
    </row>
    <row r="676" spans="1:6">
      <c r="A676" s="54">
        <v>40250</v>
      </c>
      <c r="B676" s="55">
        <v>40.655000000000001</v>
      </c>
      <c r="C676" s="55">
        <v>23.74</v>
      </c>
      <c r="D676" s="55">
        <v>33.186</v>
      </c>
      <c r="E676" s="55" t="s">
        <v>527</v>
      </c>
      <c r="F676" s="55" t="s">
        <v>527</v>
      </c>
    </row>
    <row r="677" spans="1:6">
      <c r="A677" s="54">
        <v>40251</v>
      </c>
      <c r="B677" s="55">
        <v>33.326999999999998</v>
      </c>
      <c r="C677" s="55">
        <v>18.759</v>
      </c>
      <c r="D677" s="55">
        <v>26.129000000000001</v>
      </c>
      <c r="E677" s="55" t="s">
        <v>527</v>
      </c>
      <c r="F677" s="55" t="s">
        <v>527</v>
      </c>
    </row>
    <row r="678" spans="1:6">
      <c r="A678" s="54">
        <v>40252</v>
      </c>
      <c r="B678" s="55">
        <v>24.204000000000001</v>
      </c>
      <c r="C678" s="55">
        <v>15.441000000000001</v>
      </c>
      <c r="D678" s="55">
        <v>20.236000000000001</v>
      </c>
      <c r="E678" s="55" t="s">
        <v>527</v>
      </c>
      <c r="F678" s="55" t="s">
        <v>527</v>
      </c>
    </row>
    <row r="679" spans="1:6">
      <c r="A679" s="54">
        <v>40253</v>
      </c>
      <c r="B679" s="55">
        <v>23.893000000000001</v>
      </c>
      <c r="C679" s="55">
        <v>15.12</v>
      </c>
      <c r="D679" s="55">
        <v>20.109000000000002</v>
      </c>
      <c r="E679" s="55" t="s">
        <v>527</v>
      </c>
      <c r="F679" s="55" t="s">
        <v>527</v>
      </c>
    </row>
    <row r="680" spans="1:6">
      <c r="A680" s="54">
        <v>40254</v>
      </c>
      <c r="B680" s="55">
        <v>25.154</v>
      </c>
      <c r="C680" s="55">
        <v>15.85</v>
      </c>
      <c r="D680" s="55">
        <v>20.870999999999999</v>
      </c>
      <c r="E680" s="55" t="s">
        <v>527</v>
      </c>
      <c r="F680" s="55" t="s">
        <v>527</v>
      </c>
    </row>
    <row r="681" spans="1:6">
      <c r="A681" s="54">
        <v>40255</v>
      </c>
      <c r="B681" s="55">
        <v>24.69</v>
      </c>
      <c r="C681" s="55">
        <v>15.631</v>
      </c>
      <c r="D681" s="55">
        <v>20.66</v>
      </c>
      <c r="E681" s="55" t="s">
        <v>527</v>
      </c>
      <c r="F681" s="55" t="s">
        <v>527</v>
      </c>
    </row>
    <row r="682" spans="1:6">
      <c r="A682" s="54">
        <v>40256</v>
      </c>
      <c r="B682" s="55">
        <v>31.838999999999999</v>
      </c>
      <c r="C682" s="55">
        <v>20.169</v>
      </c>
      <c r="D682" s="55">
        <v>26.49</v>
      </c>
      <c r="E682" s="55" t="s">
        <v>527</v>
      </c>
      <c r="F682" s="55" t="s">
        <v>527</v>
      </c>
    </row>
    <row r="683" spans="1:6">
      <c r="A683" s="54">
        <v>40257</v>
      </c>
      <c r="B683" s="55">
        <v>39.807000000000002</v>
      </c>
      <c r="C683" s="55">
        <v>23.96</v>
      </c>
      <c r="D683" s="55">
        <v>33.292000000000002</v>
      </c>
      <c r="E683" s="55" t="s">
        <v>527</v>
      </c>
      <c r="F683" s="55" t="s">
        <v>527</v>
      </c>
    </row>
    <row r="684" spans="1:6">
      <c r="A684" s="54">
        <v>40258</v>
      </c>
      <c r="B684" s="55">
        <v>32.728000000000002</v>
      </c>
      <c r="C684" s="55">
        <v>19.463999999999999</v>
      </c>
      <c r="D684" s="55">
        <v>27.317</v>
      </c>
      <c r="E684" s="55" t="s">
        <v>527</v>
      </c>
      <c r="F684" s="55" t="s">
        <v>527</v>
      </c>
    </row>
    <row r="685" spans="1:6">
      <c r="A685" s="54">
        <v>40259</v>
      </c>
      <c r="B685" s="55">
        <v>24.943999999999999</v>
      </c>
      <c r="C685" s="55">
        <v>15.667</v>
      </c>
      <c r="D685" s="55">
        <v>20.832999999999998</v>
      </c>
      <c r="E685" s="55" t="s">
        <v>527</v>
      </c>
      <c r="F685" s="55" t="s">
        <v>527</v>
      </c>
    </row>
    <row r="686" spans="1:6">
      <c r="A686" s="54">
        <v>40260</v>
      </c>
      <c r="B686" s="55">
        <v>24.763999999999999</v>
      </c>
      <c r="C686" s="55">
        <v>15.798999999999999</v>
      </c>
      <c r="D686" s="55">
        <v>20.63</v>
      </c>
      <c r="E686" s="55" t="s">
        <v>527</v>
      </c>
      <c r="F686" s="55" t="s">
        <v>527</v>
      </c>
    </row>
    <row r="687" spans="1:6">
      <c r="A687" s="54">
        <v>40261</v>
      </c>
      <c r="B687" s="55">
        <v>24.783999999999999</v>
      </c>
      <c r="C687" s="55">
        <v>15.728</v>
      </c>
      <c r="D687" s="55">
        <v>20.582999999999998</v>
      </c>
      <c r="E687" s="55" t="s">
        <v>527</v>
      </c>
      <c r="F687" s="55" t="s">
        <v>527</v>
      </c>
    </row>
    <row r="688" spans="1:6">
      <c r="A688" s="54">
        <v>40262</v>
      </c>
      <c r="B688" s="55">
        <v>24.622</v>
      </c>
      <c r="C688" s="55">
        <v>15.55</v>
      </c>
      <c r="D688" s="55">
        <v>20.684000000000001</v>
      </c>
      <c r="E688" s="55" t="s">
        <v>527</v>
      </c>
      <c r="F688" s="55" t="s">
        <v>527</v>
      </c>
    </row>
    <row r="689" spans="1:6">
      <c r="A689" s="54">
        <v>40263</v>
      </c>
      <c r="B689" s="55">
        <v>32.549999999999997</v>
      </c>
      <c r="C689" s="55">
        <v>20.396999999999998</v>
      </c>
      <c r="D689" s="55">
        <v>27.361999999999998</v>
      </c>
      <c r="E689" s="55" t="s">
        <v>527</v>
      </c>
      <c r="F689" s="55" t="s">
        <v>527</v>
      </c>
    </row>
    <row r="690" spans="1:6">
      <c r="A690" s="54">
        <v>40264</v>
      </c>
      <c r="B690" s="55">
        <v>37.701000000000001</v>
      </c>
      <c r="C690" s="55">
        <v>22.582000000000001</v>
      </c>
      <c r="D690" s="55">
        <v>31.37</v>
      </c>
      <c r="E690" s="55" t="s">
        <v>527</v>
      </c>
      <c r="F690" s="55" t="s">
        <v>527</v>
      </c>
    </row>
    <row r="691" spans="1:6">
      <c r="A691" s="54">
        <v>40265</v>
      </c>
      <c r="B691" s="55">
        <v>31.85</v>
      </c>
      <c r="C691" s="55">
        <v>19.228999999999999</v>
      </c>
      <c r="D691" s="55">
        <v>26.120999999999999</v>
      </c>
      <c r="E691" s="55" t="s">
        <v>527</v>
      </c>
      <c r="F691" s="55" t="s">
        <v>527</v>
      </c>
    </row>
    <row r="692" spans="1:6">
      <c r="A692" s="54">
        <v>40266</v>
      </c>
      <c r="B692" s="55">
        <v>27.202000000000002</v>
      </c>
      <c r="C692" s="55">
        <v>17.024000000000001</v>
      </c>
      <c r="D692" s="55">
        <v>22.338000000000001</v>
      </c>
      <c r="E692" s="55" t="s">
        <v>527</v>
      </c>
      <c r="F692" s="55" t="s">
        <v>527</v>
      </c>
    </row>
    <row r="693" spans="1:6">
      <c r="A693" s="54">
        <v>40267</v>
      </c>
      <c r="B693" s="55">
        <v>27.288</v>
      </c>
      <c r="C693" s="55">
        <v>16.984999999999999</v>
      </c>
      <c r="D693" s="55">
        <v>22.556999999999999</v>
      </c>
      <c r="E693" s="55" t="s">
        <v>527</v>
      </c>
      <c r="F693" s="55" t="s">
        <v>527</v>
      </c>
    </row>
    <row r="694" spans="1:6">
      <c r="A694" s="54">
        <v>40268</v>
      </c>
      <c r="B694" s="55">
        <v>27.838000000000001</v>
      </c>
      <c r="C694" s="55">
        <v>17.489000000000001</v>
      </c>
      <c r="D694" s="55">
        <v>23.234999999999999</v>
      </c>
      <c r="E694" s="55" t="s">
        <v>527</v>
      </c>
      <c r="F694" s="55" t="s">
        <v>527</v>
      </c>
    </row>
    <row r="695" spans="1:6">
      <c r="A695" s="56"/>
    </row>
    <row r="696" spans="1:6">
      <c r="A696" s="57" t="s">
        <v>556</v>
      </c>
    </row>
    <row r="697" spans="1:6">
      <c r="A697" s="57" t="s">
        <v>529</v>
      </c>
    </row>
    <row r="698" spans="1:6" ht="18">
      <c r="A698" s="58">
        <v>721.86599999999999</v>
      </c>
    </row>
    <row r="699" spans="1:6">
      <c r="A699" s="57" t="s">
        <v>531</v>
      </c>
    </row>
    <row r="700" spans="1:6">
      <c r="A700" s="59">
        <v>380.61099999999999</v>
      </c>
    </row>
    <row r="701" spans="1:6">
      <c r="A701" s="57" t="s">
        <v>533</v>
      </c>
    </row>
    <row r="702" spans="1:6">
      <c r="A702" s="60">
        <v>32874</v>
      </c>
    </row>
    <row r="703" spans="1:6">
      <c r="A703" s="61"/>
    </row>
    <row r="704" spans="1:6" ht="30">
      <c r="A704" s="52" t="s">
        <v>521</v>
      </c>
      <c r="B704" s="52" t="s">
        <v>522</v>
      </c>
      <c r="C704" s="52" t="s">
        <v>523</v>
      </c>
      <c r="D704" s="53" t="s">
        <v>524</v>
      </c>
      <c r="E704" s="53" t="s">
        <v>525</v>
      </c>
      <c r="F704" s="53" t="s">
        <v>526</v>
      </c>
    </row>
    <row r="705" spans="1:6">
      <c r="A705" s="54">
        <v>40269</v>
      </c>
      <c r="B705" s="55">
        <v>30.006</v>
      </c>
      <c r="C705" s="55">
        <v>18.734000000000002</v>
      </c>
      <c r="D705" s="55">
        <v>25.11</v>
      </c>
      <c r="E705" s="55" t="s">
        <v>527</v>
      </c>
      <c r="F705" s="55" t="s">
        <v>527</v>
      </c>
    </row>
    <row r="706" spans="1:6">
      <c r="A706" s="54">
        <v>40270</v>
      </c>
      <c r="B706" s="55">
        <v>34.372999999999998</v>
      </c>
      <c r="C706" s="55">
        <v>21.154</v>
      </c>
      <c r="D706" s="55">
        <v>27.952999999999999</v>
      </c>
      <c r="E706" s="55" t="s">
        <v>527</v>
      </c>
      <c r="F706" s="55" t="s">
        <v>527</v>
      </c>
    </row>
    <row r="707" spans="1:6">
      <c r="A707" s="54">
        <v>40271</v>
      </c>
      <c r="B707" s="55">
        <v>35.082999999999998</v>
      </c>
      <c r="C707" s="55">
        <v>20.698</v>
      </c>
      <c r="D707" s="55">
        <v>29.795999999999999</v>
      </c>
      <c r="E707" s="55" t="s">
        <v>527</v>
      </c>
      <c r="F707" s="55" t="s">
        <v>527</v>
      </c>
    </row>
    <row r="708" spans="1:6">
      <c r="A708" s="54">
        <v>40272</v>
      </c>
      <c r="B708" s="55">
        <v>30.994</v>
      </c>
      <c r="C708" s="55">
        <v>18.513999999999999</v>
      </c>
      <c r="D708" s="55">
        <v>26.262</v>
      </c>
      <c r="E708" s="55" t="s">
        <v>527</v>
      </c>
      <c r="F708" s="55" t="s">
        <v>527</v>
      </c>
    </row>
    <row r="709" spans="1:6">
      <c r="A709" s="54">
        <v>40273</v>
      </c>
      <c r="B709" s="55">
        <v>28.699000000000002</v>
      </c>
      <c r="C709" s="55">
        <v>17.564</v>
      </c>
      <c r="D709" s="55">
        <v>24.167999999999999</v>
      </c>
      <c r="E709" s="55" t="s">
        <v>527</v>
      </c>
      <c r="F709" s="55" t="s">
        <v>527</v>
      </c>
    </row>
    <row r="710" spans="1:6">
      <c r="A710" s="54">
        <v>40274</v>
      </c>
      <c r="B710" s="55">
        <v>27.239000000000001</v>
      </c>
      <c r="C710" s="55">
        <v>16.695</v>
      </c>
      <c r="D710" s="55">
        <v>22.891999999999999</v>
      </c>
      <c r="E710" s="55" t="s">
        <v>527</v>
      </c>
      <c r="F710" s="55" t="s">
        <v>527</v>
      </c>
    </row>
    <row r="711" spans="1:6">
      <c r="A711" s="54">
        <v>40275</v>
      </c>
      <c r="B711" s="55">
        <v>26.811</v>
      </c>
      <c r="C711" s="55">
        <v>16.45</v>
      </c>
      <c r="D711" s="55">
        <v>22.731999999999999</v>
      </c>
      <c r="E711" s="55" t="s">
        <v>527</v>
      </c>
      <c r="F711" s="55" t="s">
        <v>527</v>
      </c>
    </row>
    <row r="712" spans="1:6">
      <c r="A712" s="54">
        <v>40276</v>
      </c>
      <c r="B712" s="55">
        <v>26.172000000000001</v>
      </c>
      <c r="C712" s="55">
        <v>16.475000000000001</v>
      </c>
      <c r="D712" s="55">
        <v>22.236999999999998</v>
      </c>
      <c r="E712" s="55" t="s">
        <v>527</v>
      </c>
      <c r="F712" s="55" t="s">
        <v>527</v>
      </c>
    </row>
    <row r="713" spans="1:6">
      <c r="A713" s="54">
        <v>40277</v>
      </c>
      <c r="B713" s="55">
        <v>31.452000000000002</v>
      </c>
      <c r="C713" s="55">
        <v>19.562999999999999</v>
      </c>
      <c r="D713" s="55">
        <v>27.055</v>
      </c>
      <c r="E713" s="55" t="s">
        <v>527</v>
      </c>
      <c r="F713" s="55" t="s">
        <v>527</v>
      </c>
    </row>
    <row r="714" spans="1:6">
      <c r="A714" s="54">
        <v>40278</v>
      </c>
      <c r="B714" s="55">
        <v>34.747</v>
      </c>
      <c r="C714" s="55">
        <v>20.576000000000001</v>
      </c>
      <c r="D714" s="55">
        <v>29.49</v>
      </c>
      <c r="E714" s="55" t="s">
        <v>527</v>
      </c>
      <c r="F714" s="55" t="s">
        <v>527</v>
      </c>
    </row>
    <row r="715" spans="1:6">
      <c r="A715" s="54">
        <v>40279</v>
      </c>
      <c r="B715" s="55">
        <v>29.262</v>
      </c>
      <c r="C715" s="55">
        <v>17.407</v>
      </c>
      <c r="D715" s="55">
        <v>24.734000000000002</v>
      </c>
      <c r="E715" s="55" t="s">
        <v>527</v>
      </c>
      <c r="F715" s="55" t="s">
        <v>527</v>
      </c>
    </row>
    <row r="716" spans="1:6">
      <c r="A716" s="54">
        <v>40280</v>
      </c>
      <c r="B716" s="55">
        <v>22.992999999999999</v>
      </c>
      <c r="C716" s="55">
        <v>14.646000000000001</v>
      </c>
      <c r="D716" s="55">
        <v>19.241</v>
      </c>
      <c r="E716" s="55" t="s">
        <v>527</v>
      </c>
      <c r="F716" s="55" t="s">
        <v>527</v>
      </c>
    </row>
    <row r="717" spans="1:6">
      <c r="A717" s="54">
        <v>40281</v>
      </c>
      <c r="B717" s="55">
        <v>23.263999999999999</v>
      </c>
      <c r="C717" s="55">
        <v>14.638</v>
      </c>
      <c r="D717" s="55">
        <v>19.417999999999999</v>
      </c>
      <c r="E717" s="55" t="s">
        <v>527</v>
      </c>
      <c r="F717" s="55" t="s">
        <v>527</v>
      </c>
    </row>
    <row r="718" spans="1:6">
      <c r="A718" s="54">
        <v>40282</v>
      </c>
      <c r="B718" s="55">
        <v>23</v>
      </c>
      <c r="C718" s="55">
        <v>14.617000000000001</v>
      </c>
      <c r="D718" s="55">
        <v>19.471</v>
      </c>
      <c r="E718" s="55" t="s">
        <v>527</v>
      </c>
      <c r="F718" s="55" t="s">
        <v>527</v>
      </c>
    </row>
    <row r="719" spans="1:6">
      <c r="A719" s="54">
        <v>40283</v>
      </c>
      <c r="B719" s="55">
        <v>23.832000000000001</v>
      </c>
      <c r="C719" s="55">
        <v>15.335000000000001</v>
      </c>
      <c r="D719" s="55">
        <v>20.068000000000001</v>
      </c>
      <c r="E719" s="55" t="s">
        <v>527</v>
      </c>
      <c r="F719" s="55" t="s">
        <v>527</v>
      </c>
    </row>
    <row r="720" spans="1:6">
      <c r="A720" s="54">
        <v>40284</v>
      </c>
      <c r="B720" s="55">
        <v>33.972999999999999</v>
      </c>
      <c r="C720" s="55">
        <v>21.913</v>
      </c>
      <c r="D720" s="55">
        <v>29.294</v>
      </c>
      <c r="E720" s="55" t="s">
        <v>527</v>
      </c>
      <c r="F720" s="55" t="s">
        <v>527</v>
      </c>
    </row>
    <row r="721" spans="1:6">
      <c r="A721" s="54">
        <v>40285</v>
      </c>
      <c r="B721" s="55">
        <v>39.408000000000001</v>
      </c>
      <c r="C721" s="55">
        <v>23.984999999999999</v>
      </c>
      <c r="D721" s="55">
        <v>33.658000000000001</v>
      </c>
      <c r="E721" s="55" t="s">
        <v>527</v>
      </c>
      <c r="F721" s="55" t="s">
        <v>527</v>
      </c>
    </row>
    <row r="722" spans="1:6">
      <c r="A722" s="54">
        <v>40286</v>
      </c>
      <c r="B722" s="55">
        <v>31.08</v>
      </c>
      <c r="C722" s="55">
        <v>18.754999999999999</v>
      </c>
      <c r="D722" s="55">
        <v>26.408000000000001</v>
      </c>
      <c r="E722" s="55" t="s">
        <v>527</v>
      </c>
      <c r="F722" s="55" t="s">
        <v>527</v>
      </c>
    </row>
    <row r="723" spans="1:6">
      <c r="A723" s="54">
        <v>40287</v>
      </c>
      <c r="B723" s="55">
        <v>24.372</v>
      </c>
      <c r="C723" s="55">
        <v>15.659000000000001</v>
      </c>
      <c r="D723" s="55">
        <v>20.509</v>
      </c>
      <c r="E723" s="55" t="s">
        <v>527</v>
      </c>
      <c r="F723" s="55" t="s">
        <v>527</v>
      </c>
    </row>
    <row r="724" spans="1:6">
      <c r="A724" s="54">
        <v>40288</v>
      </c>
      <c r="B724" s="55">
        <v>23.145</v>
      </c>
      <c r="C724" s="55">
        <v>14.776</v>
      </c>
      <c r="D724" s="55">
        <v>19.548999999999999</v>
      </c>
      <c r="E724" s="55" t="s">
        <v>527</v>
      </c>
      <c r="F724" s="55" t="s">
        <v>527</v>
      </c>
    </row>
    <row r="725" spans="1:6">
      <c r="A725" s="54">
        <v>40289</v>
      </c>
      <c r="B725" s="55">
        <v>24.893999999999998</v>
      </c>
      <c r="C725" s="55">
        <v>15.888</v>
      </c>
      <c r="D725" s="55">
        <v>21.207000000000001</v>
      </c>
      <c r="E725" s="55" t="s">
        <v>527</v>
      </c>
      <c r="F725" s="55" t="s">
        <v>527</v>
      </c>
    </row>
    <row r="726" spans="1:6">
      <c r="A726" s="54">
        <v>40290</v>
      </c>
      <c r="B726" s="55">
        <v>26.231999999999999</v>
      </c>
      <c r="C726" s="55">
        <v>16.335000000000001</v>
      </c>
      <c r="D726" s="55">
        <v>22.094999999999999</v>
      </c>
      <c r="E726" s="55" t="s">
        <v>527</v>
      </c>
      <c r="F726" s="55" t="s">
        <v>527</v>
      </c>
    </row>
    <row r="727" spans="1:6">
      <c r="A727" s="54">
        <v>40291</v>
      </c>
      <c r="B727" s="55">
        <v>33.156999999999996</v>
      </c>
      <c r="C727" s="55">
        <v>20.773</v>
      </c>
      <c r="D727" s="55">
        <v>28.146000000000001</v>
      </c>
      <c r="E727" s="55" t="s">
        <v>527</v>
      </c>
      <c r="F727" s="55" t="s">
        <v>527</v>
      </c>
    </row>
    <row r="728" spans="1:6">
      <c r="A728" s="54">
        <v>40292</v>
      </c>
      <c r="B728" s="55">
        <v>36.344000000000001</v>
      </c>
      <c r="C728" s="55">
        <v>21.501000000000001</v>
      </c>
      <c r="D728" s="55">
        <v>30.890999999999998</v>
      </c>
      <c r="E728" s="55" t="s">
        <v>527</v>
      </c>
      <c r="F728" s="55" t="s">
        <v>527</v>
      </c>
    </row>
    <row r="729" spans="1:6">
      <c r="A729" s="54">
        <v>40293</v>
      </c>
      <c r="B729" s="55">
        <v>30.349</v>
      </c>
      <c r="C729" s="55">
        <v>17.77</v>
      </c>
      <c r="D729" s="55">
        <v>25.024999999999999</v>
      </c>
      <c r="E729" s="55" t="s">
        <v>527</v>
      </c>
      <c r="F729" s="55" t="s">
        <v>527</v>
      </c>
    </row>
    <row r="730" spans="1:6">
      <c r="A730" s="54">
        <v>40294</v>
      </c>
      <c r="B730" s="55">
        <v>22.46</v>
      </c>
      <c r="C730" s="55">
        <v>14.384</v>
      </c>
      <c r="D730" s="55">
        <v>18.766999999999999</v>
      </c>
      <c r="E730" s="55" t="s">
        <v>527</v>
      </c>
      <c r="F730" s="55" t="s">
        <v>527</v>
      </c>
    </row>
    <row r="731" spans="1:6">
      <c r="A731" s="54">
        <v>40295</v>
      </c>
      <c r="B731" s="55">
        <v>23.802</v>
      </c>
      <c r="C731" s="55">
        <v>15.253</v>
      </c>
      <c r="D731" s="55">
        <v>20.013999999999999</v>
      </c>
      <c r="E731" s="55" t="s">
        <v>527</v>
      </c>
      <c r="F731" s="55" t="s">
        <v>527</v>
      </c>
    </row>
    <row r="732" spans="1:6">
      <c r="A732" s="54">
        <v>40296</v>
      </c>
      <c r="B732" s="55">
        <v>23.655999999999999</v>
      </c>
      <c r="C732" s="55">
        <v>14.862</v>
      </c>
      <c r="D732" s="55">
        <v>19.981999999999999</v>
      </c>
      <c r="E732" s="55" t="s">
        <v>527</v>
      </c>
      <c r="F732" s="55" t="s">
        <v>527</v>
      </c>
    </row>
    <row r="733" spans="1:6">
      <c r="A733" s="54">
        <v>40297</v>
      </c>
      <c r="B733" s="55">
        <v>23.643999999999998</v>
      </c>
      <c r="C733" s="55">
        <v>15.090999999999999</v>
      </c>
      <c r="D733" s="55">
        <v>20.082999999999998</v>
      </c>
      <c r="E733" s="55" t="s">
        <v>527</v>
      </c>
      <c r="F733" s="55" t="s">
        <v>527</v>
      </c>
    </row>
    <row r="734" spans="1:6">
      <c r="A734" s="54">
        <v>40298</v>
      </c>
      <c r="B734" s="55">
        <v>29.966000000000001</v>
      </c>
      <c r="C734" s="55">
        <v>18.849</v>
      </c>
      <c r="D734" s="55">
        <v>25.611000000000001</v>
      </c>
      <c r="E734" s="55" t="s">
        <v>527</v>
      </c>
      <c r="F734" s="55" t="s">
        <v>527</v>
      </c>
    </row>
    <row r="735" spans="1:6">
      <c r="A735" s="56"/>
    </row>
    <row r="736" spans="1:6">
      <c r="A736" s="57" t="s">
        <v>557</v>
      </c>
    </row>
    <row r="737" spans="1:6">
      <c r="A737" s="57" t="s">
        <v>529</v>
      </c>
    </row>
    <row r="738" spans="1:6" ht="18">
      <c r="A738" s="58">
        <v>704.86800000000005</v>
      </c>
    </row>
    <row r="739" spans="1:6">
      <c r="A739" s="57" t="s">
        <v>531</v>
      </c>
    </row>
    <row r="740" spans="1:6">
      <c r="A740" s="59">
        <v>387.95400000000001</v>
      </c>
    </row>
    <row r="741" spans="1:6">
      <c r="A741" s="57" t="s">
        <v>533</v>
      </c>
    </row>
    <row r="742" spans="1:6">
      <c r="A742" s="60">
        <v>29952</v>
      </c>
    </row>
    <row r="743" spans="1:6">
      <c r="A743" s="61"/>
    </row>
    <row r="744" spans="1:6" ht="30">
      <c r="A744" s="52" t="s">
        <v>521</v>
      </c>
      <c r="B744" s="52" t="s">
        <v>522</v>
      </c>
      <c r="C744" s="52" t="s">
        <v>523</v>
      </c>
      <c r="D744" s="53" t="s">
        <v>524</v>
      </c>
      <c r="E744" s="53" t="s">
        <v>525</v>
      </c>
      <c r="F744" s="53" t="s">
        <v>526</v>
      </c>
    </row>
    <row r="745" spans="1:6">
      <c r="A745" s="54">
        <v>40299</v>
      </c>
      <c r="B745" s="55">
        <v>35.058</v>
      </c>
      <c r="C745" s="55">
        <v>20.948</v>
      </c>
      <c r="D745" s="55">
        <v>28.948</v>
      </c>
      <c r="E745" s="55" t="s">
        <v>527</v>
      </c>
      <c r="F745" s="55" t="s">
        <v>527</v>
      </c>
    </row>
    <row r="746" spans="1:6">
      <c r="A746" s="54">
        <v>40300</v>
      </c>
      <c r="B746" s="55">
        <v>30.54</v>
      </c>
      <c r="C746" s="55">
        <v>18.149000000000001</v>
      </c>
      <c r="D746" s="55">
        <v>25.210999999999999</v>
      </c>
      <c r="E746" s="55" t="s">
        <v>527</v>
      </c>
      <c r="F746" s="55" t="s">
        <v>527</v>
      </c>
    </row>
    <row r="747" spans="1:6">
      <c r="A747" s="54">
        <v>40301</v>
      </c>
      <c r="B747" s="55">
        <v>24.4</v>
      </c>
      <c r="C747" s="55">
        <v>15.164999999999999</v>
      </c>
      <c r="D747" s="55">
        <v>19.850000000000001</v>
      </c>
      <c r="E747" s="55" t="s">
        <v>527</v>
      </c>
      <c r="F747" s="55" t="s">
        <v>527</v>
      </c>
    </row>
    <row r="748" spans="1:6">
      <c r="A748" s="54">
        <v>40302</v>
      </c>
      <c r="B748" s="55">
        <v>22.933</v>
      </c>
      <c r="C748" s="55">
        <v>14.676</v>
      </c>
      <c r="D748" s="55">
        <v>18.716999999999999</v>
      </c>
      <c r="E748" s="55" t="s">
        <v>527</v>
      </c>
      <c r="F748" s="55" t="s">
        <v>527</v>
      </c>
    </row>
    <row r="749" spans="1:6">
      <c r="A749" s="54">
        <v>40303</v>
      </c>
      <c r="B749" s="55">
        <v>23.161000000000001</v>
      </c>
      <c r="C749" s="55">
        <v>14.757999999999999</v>
      </c>
      <c r="D749" s="55">
        <v>18.701000000000001</v>
      </c>
      <c r="E749" s="55" t="s">
        <v>527</v>
      </c>
      <c r="F749" s="55" t="s">
        <v>527</v>
      </c>
    </row>
    <row r="750" spans="1:6">
      <c r="A750" s="54">
        <v>40304</v>
      </c>
      <c r="B750" s="55">
        <v>24.03</v>
      </c>
      <c r="C750" s="55">
        <v>15.47</v>
      </c>
      <c r="D750" s="55">
        <v>19.756</v>
      </c>
      <c r="E750" s="55" t="s">
        <v>527</v>
      </c>
      <c r="F750" s="55" t="s">
        <v>527</v>
      </c>
    </row>
    <row r="751" spans="1:6">
      <c r="A751" s="54">
        <v>40305</v>
      </c>
      <c r="B751" s="55">
        <v>32.067</v>
      </c>
      <c r="C751" s="55">
        <v>20.358000000000001</v>
      </c>
      <c r="D751" s="55">
        <v>26.359000000000002</v>
      </c>
      <c r="E751" s="55" t="s">
        <v>527</v>
      </c>
      <c r="F751" s="55" t="s">
        <v>527</v>
      </c>
    </row>
    <row r="752" spans="1:6">
      <c r="A752" s="54">
        <v>40306</v>
      </c>
      <c r="B752" s="55">
        <v>35.673999999999999</v>
      </c>
      <c r="C752" s="55">
        <v>21.617000000000001</v>
      </c>
      <c r="D752" s="55">
        <v>29.309000000000001</v>
      </c>
      <c r="E752" s="55" t="s">
        <v>527</v>
      </c>
      <c r="F752" s="55" t="s">
        <v>527</v>
      </c>
    </row>
    <row r="753" spans="1:6">
      <c r="A753" s="54">
        <v>40307</v>
      </c>
      <c r="B753" s="55">
        <v>29.881</v>
      </c>
      <c r="C753" s="55">
        <v>17.684999999999999</v>
      </c>
      <c r="D753" s="55">
        <v>24.338999999999999</v>
      </c>
      <c r="E753" s="55" t="s">
        <v>527</v>
      </c>
      <c r="F753" s="55" t="s">
        <v>527</v>
      </c>
    </row>
    <row r="754" spans="1:6">
      <c r="A754" s="54">
        <v>40308</v>
      </c>
      <c r="B754" s="55">
        <v>21.460999999999999</v>
      </c>
      <c r="C754" s="55">
        <v>13.693</v>
      </c>
      <c r="D754" s="55">
        <v>17.405000000000001</v>
      </c>
      <c r="E754" s="55" t="s">
        <v>527</v>
      </c>
      <c r="F754" s="55" t="s">
        <v>527</v>
      </c>
    </row>
    <row r="755" spans="1:6">
      <c r="A755" s="54">
        <v>40309</v>
      </c>
      <c r="B755" s="55">
        <v>20.638000000000002</v>
      </c>
      <c r="C755" s="55">
        <v>13.228999999999999</v>
      </c>
      <c r="D755" s="55">
        <v>17.349</v>
      </c>
      <c r="E755" s="55" t="s">
        <v>527</v>
      </c>
      <c r="F755" s="55" t="s">
        <v>527</v>
      </c>
    </row>
    <row r="756" spans="1:6">
      <c r="A756" s="54">
        <v>40310</v>
      </c>
      <c r="B756" s="55">
        <v>24.943000000000001</v>
      </c>
      <c r="C756" s="55">
        <v>15.913</v>
      </c>
      <c r="D756" s="55">
        <v>20.236000000000001</v>
      </c>
      <c r="E756" s="55" t="s">
        <v>527</v>
      </c>
      <c r="F756" s="55" t="s">
        <v>527</v>
      </c>
    </row>
    <row r="757" spans="1:6">
      <c r="A757" s="54">
        <v>40311</v>
      </c>
      <c r="B757" s="55">
        <v>25.123000000000001</v>
      </c>
      <c r="C757" s="55">
        <v>15.978999999999999</v>
      </c>
      <c r="D757" s="55">
        <v>20.588999999999999</v>
      </c>
      <c r="E757" s="55" t="s">
        <v>527</v>
      </c>
      <c r="F757" s="55" t="s">
        <v>527</v>
      </c>
    </row>
    <row r="758" spans="1:6">
      <c r="A758" s="54">
        <v>40312</v>
      </c>
      <c r="B758" s="55">
        <v>30.818999999999999</v>
      </c>
      <c r="C758" s="55">
        <v>19.666</v>
      </c>
      <c r="D758" s="55">
        <v>25.335999999999999</v>
      </c>
      <c r="E758" s="55" t="s">
        <v>527</v>
      </c>
      <c r="F758" s="55" t="s">
        <v>527</v>
      </c>
    </row>
    <row r="759" spans="1:6">
      <c r="A759" s="54">
        <v>40313</v>
      </c>
      <c r="B759" s="55">
        <v>34.177999999999997</v>
      </c>
      <c r="C759" s="55">
        <v>20.751000000000001</v>
      </c>
      <c r="D759" s="55">
        <v>28.285</v>
      </c>
      <c r="E759" s="55" t="s">
        <v>527</v>
      </c>
      <c r="F759" s="55" t="s">
        <v>527</v>
      </c>
    </row>
    <row r="760" spans="1:6">
      <c r="A760" s="54">
        <v>40314</v>
      </c>
      <c r="B760" s="55">
        <v>28.916</v>
      </c>
      <c r="C760" s="55">
        <v>17.594999999999999</v>
      </c>
      <c r="D760" s="55">
        <v>23.56</v>
      </c>
      <c r="E760" s="55" t="s">
        <v>527</v>
      </c>
      <c r="F760" s="55" t="s">
        <v>527</v>
      </c>
    </row>
    <row r="761" spans="1:6">
      <c r="A761" s="54">
        <v>40315</v>
      </c>
      <c r="B761" s="55">
        <v>22.832999999999998</v>
      </c>
      <c r="C761" s="55">
        <v>14.743</v>
      </c>
      <c r="D761" s="55">
        <v>18.335000000000001</v>
      </c>
      <c r="E761" s="55" t="s">
        <v>527</v>
      </c>
      <c r="F761" s="55" t="s">
        <v>527</v>
      </c>
    </row>
    <row r="762" spans="1:6">
      <c r="A762" s="54">
        <v>40316</v>
      </c>
      <c r="B762" s="55">
        <v>24.053999999999998</v>
      </c>
      <c r="C762" s="55">
        <v>15.321</v>
      </c>
      <c r="D762" s="55">
        <v>19.05</v>
      </c>
      <c r="E762" s="55" t="s">
        <v>527</v>
      </c>
      <c r="F762" s="55" t="s">
        <v>527</v>
      </c>
    </row>
    <row r="763" spans="1:6">
      <c r="A763" s="54">
        <v>40317</v>
      </c>
      <c r="B763" s="55">
        <v>24.489000000000001</v>
      </c>
      <c r="C763" s="55">
        <v>15.622</v>
      </c>
      <c r="D763" s="55">
        <v>19.814</v>
      </c>
      <c r="E763" s="55" t="s">
        <v>527</v>
      </c>
      <c r="F763" s="55" t="s">
        <v>527</v>
      </c>
    </row>
    <row r="764" spans="1:6">
      <c r="A764" s="54">
        <v>40318</v>
      </c>
      <c r="B764" s="55">
        <v>24.864000000000001</v>
      </c>
      <c r="C764" s="55">
        <v>15.811</v>
      </c>
      <c r="D764" s="55">
        <v>20.253</v>
      </c>
      <c r="E764" s="55" t="s">
        <v>527</v>
      </c>
      <c r="F764" s="55" t="s">
        <v>527</v>
      </c>
    </row>
    <row r="765" spans="1:6">
      <c r="A765" s="54">
        <v>40319</v>
      </c>
      <c r="B765" s="55">
        <v>31.991</v>
      </c>
      <c r="C765" s="55">
        <v>20.024000000000001</v>
      </c>
      <c r="D765" s="55">
        <v>26.117000000000001</v>
      </c>
      <c r="E765" s="55" t="s">
        <v>527</v>
      </c>
      <c r="F765" s="55" t="s">
        <v>527</v>
      </c>
    </row>
    <row r="766" spans="1:6">
      <c r="A766" s="54">
        <v>40320</v>
      </c>
      <c r="B766" s="55">
        <v>34.78</v>
      </c>
      <c r="C766" s="55">
        <v>20.783999999999999</v>
      </c>
      <c r="D766" s="55">
        <v>28.565999999999999</v>
      </c>
      <c r="E766" s="55" t="s">
        <v>527</v>
      </c>
      <c r="F766" s="55" t="s">
        <v>527</v>
      </c>
    </row>
    <row r="767" spans="1:6">
      <c r="A767" s="54">
        <v>40321</v>
      </c>
      <c r="B767" s="55">
        <v>29.228999999999999</v>
      </c>
      <c r="C767" s="55">
        <v>17.407</v>
      </c>
      <c r="D767" s="55">
        <v>23.811</v>
      </c>
      <c r="E767" s="55" t="s">
        <v>527</v>
      </c>
      <c r="F767" s="55" t="s">
        <v>527</v>
      </c>
    </row>
    <row r="768" spans="1:6">
      <c r="A768" s="54">
        <v>40322</v>
      </c>
      <c r="B768" s="55">
        <v>24.835999999999999</v>
      </c>
      <c r="C768" s="55">
        <v>15.673</v>
      </c>
      <c r="D768" s="55">
        <v>20.030999999999999</v>
      </c>
      <c r="E768" s="55" t="s">
        <v>527</v>
      </c>
      <c r="F768" s="55" t="s">
        <v>527</v>
      </c>
    </row>
    <row r="769" spans="1:6">
      <c r="A769" s="54">
        <v>40323</v>
      </c>
      <c r="B769" s="55">
        <v>23.821999999999999</v>
      </c>
      <c r="C769" s="55">
        <v>15.454000000000001</v>
      </c>
      <c r="D769" s="55">
        <v>19.373999999999999</v>
      </c>
      <c r="E769" s="55" t="s">
        <v>527</v>
      </c>
      <c r="F769" s="55" t="s">
        <v>527</v>
      </c>
    </row>
    <row r="770" spans="1:6">
      <c r="A770" s="54">
        <v>40324</v>
      </c>
      <c r="B770" s="55">
        <v>24.945</v>
      </c>
      <c r="C770" s="55">
        <v>15.84</v>
      </c>
      <c r="D770" s="55">
        <v>20.431000000000001</v>
      </c>
      <c r="E770" s="55" t="s">
        <v>527</v>
      </c>
      <c r="F770" s="55" t="s">
        <v>527</v>
      </c>
    </row>
    <row r="771" spans="1:6">
      <c r="A771" s="54">
        <v>40325</v>
      </c>
      <c r="B771" s="55">
        <v>26.446000000000002</v>
      </c>
      <c r="C771" s="55">
        <v>17.100999999999999</v>
      </c>
      <c r="D771" s="55">
        <v>21.506</v>
      </c>
      <c r="E771" s="55" t="s">
        <v>527</v>
      </c>
      <c r="F771" s="55" t="s">
        <v>527</v>
      </c>
    </row>
    <row r="772" spans="1:6">
      <c r="A772" s="54">
        <v>40326</v>
      </c>
      <c r="B772" s="55">
        <v>31.626000000000001</v>
      </c>
      <c r="C772" s="55">
        <v>20.149000000000001</v>
      </c>
      <c r="D772" s="55">
        <v>25.946000000000002</v>
      </c>
      <c r="E772" s="55" t="s">
        <v>527</v>
      </c>
      <c r="F772" s="55" t="s">
        <v>527</v>
      </c>
    </row>
    <row r="773" spans="1:6">
      <c r="A773" s="54">
        <v>40327</v>
      </c>
      <c r="B773" s="55">
        <v>35.643000000000001</v>
      </c>
      <c r="C773" s="55">
        <v>21.687999999999999</v>
      </c>
      <c r="D773" s="55">
        <v>29.597999999999999</v>
      </c>
      <c r="E773" s="55" t="s">
        <v>527</v>
      </c>
      <c r="F773" s="55" t="s">
        <v>527</v>
      </c>
    </row>
    <row r="774" spans="1:6">
      <c r="A774" s="54">
        <v>40328</v>
      </c>
      <c r="B774" s="55">
        <v>30.114999999999998</v>
      </c>
      <c r="C774" s="55">
        <v>18.419</v>
      </c>
      <c r="D774" s="55">
        <v>24.646000000000001</v>
      </c>
      <c r="E774" s="55" t="s">
        <v>527</v>
      </c>
      <c r="F774" s="55" t="s">
        <v>527</v>
      </c>
    </row>
    <row r="775" spans="1:6">
      <c r="A775" s="54">
        <v>40329</v>
      </c>
      <c r="B775" s="55">
        <v>28.594000000000001</v>
      </c>
      <c r="C775" s="55">
        <v>17.922999999999998</v>
      </c>
      <c r="D775" s="55">
        <v>23.44</v>
      </c>
      <c r="E775" s="55" t="s">
        <v>527</v>
      </c>
      <c r="F775" s="55" t="s">
        <v>527</v>
      </c>
    </row>
    <row r="776" spans="1:6">
      <c r="A776" s="56"/>
    </row>
    <row r="777" spans="1:6">
      <c r="A777" s="57" t="s">
        <v>558</v>
      </c>
    </row>
    <row r="778" spans="1:6">
      <c r="A778" s="57" t="s">
        <v>529</v>
      </c>
    </row>
    <row r="779" spans="1:6" ht="18">
      <c r="A779" s="58">
        <v>706.63400000000001</v>
      </c>
    </row>
    <row r="780" spans="1:6">
      <c r="A780" s="57" t="s">
        <v>531</v>
      </c>
    </row>
    <row r="781" spans="1:6">
      <c r="A781" s="59">
        <v>397.791</v>
      </c>
    </row>
    <row r="782" spans="1:6">
      <c r="A782" s="57" t="s">
        <v>533</v>
      </c>
    </row>
    <row r="783" spans="1:6">
      <c r="A783" s="60">
        <v>28491</v>
      </c>
    </row>
    <row r="784" spans="1:6">
      <c r="A784" s="61"/>
    </row>
    <row r="785" spans="1:6" ht="30">
      <c r="A785" s="52" t="s">
        <v>521</v>
      </c>
      <c r="B785" s="52" t="s">
        <v>522</v>
      </c>
      <c r="C785" s="52" t="s">
        <v>523</v>
      </c>
      <c r="D785" s="53" t="s">
        <v>524</v>
      </c>
      <c r="E785" s="53" t="s">
        <v>525</v>
      </c>
      <c r="F785" s="53" t="s">
        <v>526</v>
      </c>
    </row>
    <row r="786" spans="1:6">
      <c r="A786" s="54">
        <v>40330</v>
      </c>
      <c r="B786" s="55">
        <v>27.474</v>
      </c>
      <c r="C786" s="55">
        <v>17.292000000000002</v>
      </c>
      <c r="D786" s="55">
        <v>22.544</v>
      </c>
      <c r="E786" s="55" t="s">
        <v>527</v>
      </c>
      <c r="F786" s="55" t="s">
        <v>527</v>
      </c>
    </row>
    <row r="787" spans="1:6">
      <c r="A787" s="54">
        <v>40331</v>
      </c>
      <c r="B787" s="55">
        <v>27.007000000000001</v>
      </c>
      <c r="C787" s="55">
        <v>17.178999999999998</v>
      </c>
      <c r="D787" s="55">
        <v>21.981999999999999</v>
      </c>
      <c r="E787" s="55" t="s">
        <v>527</v>
      </c>
      <c r="F787" s="55" t="s">
        <v>527</v>
      </c>
    </row>
    <row r="788" spans="1:6">
      <c r="A788" s="54">
        <v>40332</v>
      </c>
      <c r="B788" s="55">
        <v>28.114000000000001</v>
      </c>
      <c r="C788" s="55">
        <v>17.908999999999999</v>
      </c>
      <c r="D788" s="55">
        <v>22.922999999999998</v>
      </c>
      <c r="E788" s="55" t="s">
        <v>527</v>
      </c>
      <c r="F788" s="55" t="s">
        <v>527</v>
      </c>
    </row>
    <row r="789" spans="1:6">
      <c r="A789" s="54">
        <v>40333</v>
      </c>
      <c r="B789" s="55">
        <v>32.970999999999997</v>
      </c>
      <c r="C789" s="55">
        <v>20.893999999999998</v>
      </c>
      <c r="D789" s="55">
        <v>27.317</v>
      </c>
      <c r="E789" s="55" t="s">
        <v>527</v>
      </c>
      <c r="F789" s="55" t="s">
        <v>527</v>
      </c>
    </row>
    <row r="790" spans="1:6">
      <c r="A790" s="54">
        <v>40334</v>
      </c>
      <c r="B790" s="55">
        <v>35.404000000000003</v>
      </c>
      <c r="C790" s="55">
        <v>21.527000000000001</v>
      </c>
      <c r="D790" s="55">
        <v>29.125</v>
      </c>
      <c r="E790" s="55" t="s">
        <v>527</v>
      </c>
      <c r="F790" s="55" t="s">
        <v>527</v>
      </c>
    </row>
    <row r="791" spans="1:6">
      <c r="A791" s="54">
        <v>40335</v>
      </c>
      <c r="B791" s="55">
        <v>31.372</v>
      </c>
      <c r="C791" s="55">
        <v>18.812999999999999</v>
      </c>
      <c r="D791" s="55">
        <v>25.728999999999999</v>
      </c>
      <c r="E791" s="55" t="s">
        <v>527</v>
      </c>
      <c r="F791" s="55" t="s">
        <v>527</v>
      </c>
    </row>
    <row r="792" spans="1:6">
      <c r="A792" s="54">
        <v>40336</v>
      </c>
      <c r="B792" s="55">
        <v>28.712</v>
      </c>
      <c r="C792" s="55">
        <v>18.245000000000001</v>
      </c>
      <c r="D792" s="55">
        <v>23.384</v>
      </c>
      <c r="E792" s="55" t="s">
        <v>527</v>
      </c>
      <c r="F792" s="55" t="s">
        <v>527</v>
      </c>
    </row>
    <row r="793" spans="1:6">
      <c r="A793" s="54">
        <v>40337</v>
      </c>
      <c r="B793" s="55">
        <v>29.116</v>
      </c>
      <c r="C793" s="55">
        <v>18.202000000000002</v>
      </c>
      <c r="D793" s="55">
        <v>23.541</v>
      </c>
      <c r="E793" s="55" t="s">
        <v>527</v>
      </c>
      <c r="F793" s="55" t="s">
        <v>527</v>
      </c>
    </row>
    <row r="794" spans="1:6">
      <c r="A794" s="54">
        <v>40338</v>
      </c>
      <c r="B794" s="55">
        <v>29.099</v>
      </c>
      <c r="C794" s="55">
        <v>18.498000000000001</v>
      </c>
      <c r="D794" s="55">
        <v>23.594999999999999</v>
      </c>
      <c r="E794" s="55" t="s">
        <v>527</v>
      </c>
      <c r="F794" s="55" t="s">
        <v>527</v>
      </c>
    </row>
    <row r="795" spans="1:6">
      <c r="A795" s="54">
        <v>40339</v>
      </c>
      <c r="B795" s="55">
        <v>29.521000000000001</v>
      </c>
      <c r="C795" s="55">
        <v>18.884</v>
      </c>
      <c r="D795" s="55">
        <v>23.878</v>
      </c>
      <c r="E795" s="55" t="s">
        <v>527</v>
      </c>
      <c r="F795" s="55" t="s">
        <v>527</v>
      </c>
    </row>
    <row r="796" spans="1:6">
      <c r="A796" s="54">
        <v>40340</v>
      </c>
      <c r="B796" s="55">
        <v>31.263000000000002</v>
      </c>
      <c r="C796" s="55">
        <v>19.783999999999999</v>
      </c>
      <c r="D796" s="55">
        <v>25.539000000000001</v>
      </c>
      <c r="E796" s="55" t="s">
        <v>527</v>
      </c>
      <c r="F796" s="55" t="s">
        <v>527</v>
      </c>
    </row>
    <row r="797" spans="1:6">
      <c r="A797" s="54">
        <v>40341</v>
      </c>
      <c r="B797" s="55">
        <v>31.882999999999999</v>
      </c>
      <c r="C797" s="55">
        <v>19.567</v>
      </c>
      <c r="D797" s="55">
        <v>25.995999999999999</v>
      </c>
      <c r="E797" s="55" t="s">
        <v>527</v>
      </c>
      <c r="F797" s="55" t="s">
        <v>527</v>
      </c>
    </row>
    <row r="798" spans="1:6">
      <c r="A798" s="54">
        <v>40342</v>
      </c>
      <c r="B798" s="55">
        <v>29.957999999999998</v>
      </c>
      <c r="C798" s="55">
        <v>18.334</v>
      </c>
      <c r="D798" s="55">
        <v>24.202000000000002</v>
      </c>
      <c r="E798" s="55" t="s">
        <v>527</v>
      </c>
      <c r="F798" s="55" t="s">
        <v>527</v>
      </c>
    </row>
    <row r="799" spans="1:6">
      <c r="A799" s="54">
        <v>40343</v>
      </c>
      <c r="B799" s="55">
        <v>26.907</v>
      </c>
      <c r="C799" s="55">
        <v>17</v>
      </c>
      <c r="D799" s="55">
        <v>21.957000000000001</v>
      </c>
      <c r="E799" s="55" t="s">
        <v>527</v>
      </c>
      <c r="F799" s="55" t="s">
        <v>527</v>
      </c>
    </row>
    <row r="800" spans="1:6">
      <c r="A800" s="54">
        <v>40344</v>
      </c>
      <c r="B800" s="55">
        <v>26.86</v>
      </c>
      <c r="C800" s="55">
        <v>17.039000000000001</v>
      </c>
      <c r="D800" s="55">
        <v>21.858000000000001</v>
      </c>
      <c r="E800" s="55" t="s">
        <v>527</v>
      </c>
      <c r="F800" s="55" t="s">
        <v>527</v>
      </c>
    </row>
    <row r="801" spans="1:6">
      <c r="A801" s="54">
        <v>40345</v>
      </c>
      <c r="B801" s="55">
        <v>27.314</v>
      </c>
      <c r="C801" s="55">
        <v>17.372</v>
      </c>
      <c r="D801" s="55">
        <v>21.995999999999999</v>
      </c>
      <c r="E801" s="55" t="s">
        <v>527</v>
      </c>
      <c r="F801" s="55" t="s">
        <v>527</v>
      </c>
    </row>
    <row r="802" spans="1:6">
      <c r="A802" s="54">
        <v>40346</v>
      </c>
      <c r="B802" s="55">
        <v>26.847999999999999</v>
      </c>
      <c r="C802" s="55">
        <v>17.18</v>
      </c>
      <c r="D802" s="55">
        <v>22.015000000000001</v>
      </c>
      <c r="E802" s="55" t="s">
        <v>527</v>
      </c>
      <c r="F802" s="55" t="s">
        <v>527</v>
      </c>
    </row>
    <row r="803" spans="1:6">
      <c r="A803" s="54">
        <v>40347</v>
      </c>
      <c r="B803" s="55">
        <v>30.98</v>
      </c>
      <c r="C803" s="55">
        <v>19.725999999999999</v>
      </c>
      <c r="D803" s="55">
        <v>25.602</v>
      </c>
      <c r="E803" s="55" t="s">
        <v>527</v>
      </c>
      <c r="F803" s="55" t="s">
        <v>527</v>
      </c>
    </row>
    <row r="804" spans="1:6">
      <c r="A804" s="54">
        <v>40348</v>
      </c>
      <c r="B804" s="55">
        <v>31.564</v>
      </c>
      <c r="C804" s="55">
        <v>19.489000000000001</v>
      </c>
      <c r="D804" s="55">
        <v>25.716999999999999</v>
      </c>
      <c r="E804" s="55" t="s">
        <v>527</v>
      </c>
      <c r="F804" s="55" t="s">
        <v>527</v>
      </c>
    </row>
    <row r="805" spans="1:6">
      <c r="A805" s="54">
        <v>40349</v>
      </c>
      <c r="B805" s="55">
        <v>27.622</v>
      </c>
      <c r="C805" s="55">
        <v>16.859000000000002</v>
      </c>
      <c r="D805" s="55">
        <v>22.314</v>
      </c>
      <c r="E805" s="55" t="s">
        <v>527</v>
      </c>
      <c r="F805" s="55" t="s">
        <v>527</v>
      </c>
    </row>
    <row r="806" spans="1:6">
      <c r="A806" s="54">
        <v>40350</v>
      </c>
      <c r="B806" s="55">
        <v>27.36</v>
      </c>
      <c r="C806" s="55">
        <v>17.279</v>
      </c>
      <c r="D806" s="55">
        <v>22.157</v>
      </c>
      <c r="E806" s="55" t="s">
        <v>527</v>
      </c>
      <c r="F806" s="55" t="s">
        <v>527</v>
      </c>
    </row>
    <row r="807" spans="1:6">
      <c r="A807" s="54">
        <v>40351</v>
      </c>
      <c r="B807" s="55">
        <v>27.393000000000001</v>
      </c>
      <c r="C807" s="55">
        <v>17.239999999999998</v>
      </c>
      <c r="D807" s="55">
        <v>22.199000000000002</v>
      </c>
      <c r="E807" s="55" t="s">
        <v>527</v>
      </c>
      <c r="F807" s="55" t="s">
        <v>527</v>
      </c>
    </row>
    <row r="808" spans="1:6">
      <c r="A808" s="54">
        <v>40352</v>
      </c>
      <c r="B808" s="55">
        <v>26.984000000000002</v>
      </c>
      <c r="C808" s="55">
        <v>16.844999999999999</v>
      </c>
      <c r="D808" s="55">
        <v>21.693999999999999</v>
      </c>
      <c r="E808" s="55" t="s">
        <v>527</v>
      </c>
      <c r="F808" s="55" t="s">
        <v>527</v>
      </c>
    </row>
    <row r="809" spans="1:6">
      <c r="A809" s="54">
        <v>40353</v>
      </c>
      <c r="B809" s="55">
        <v>26.654</v>
      </c>
      <c r="C809" s="55">
        <v>16.655999999999999</v>
      </c>
      <c r="D809" s="55">
        <v>21.643999999999998</v>
      </c>
      <c r="E809" s="55" t="s">
        <v>527</v>
      </c>
      <c r="F809" s="55" t="s">
        <v>527</v>
      </c>
    </row>
    <row r="810" spans="1:6">
      <c r="A810" s="54">
        <v>40354</v>
      </c>
      <c r="B810" s="55">
        <v>30.202000000000002</v>
      </c>
      <c r="C810" s="55">
        <v>18.864999999999998</v>
      </c>
      <c r="D810" s="55">
        <v>24.818000000000001</v>
      </c>
      <c r="E810" s="55" t="s">
        <v>527</v>
      </c>
      <c r="F810" s="55" t="s">
        <v>527</v>
      </c>
    </row>
    <row r="811" spans="1:6">
      <c r="A811" s="54">
        <v>40355</v>
      </c>
      <c r="B811" s="55">
        <v>29.384</v>
      </c>
      <c r="C811" s="55">
        <v>18.016999999999999</v>
      </c>
      <c r="D811" s="55">
        <v>24.186</v>
      </c>
      <c r="E811" s="55" t="s">
        <v>527</v>
      </c>
      <c r="F811" s="55" t="s">
        <v>527</v>
      </c>
    </row>
    <row r="812" spans="1:6">
      <c r="A812" s="54">
        <v>40356</v>
      </c>
      <c r="B812" s="55">
        <v>26.361999999999998</v>
      </c>
      <c r="C812" s="55">
        <v>16.195</v>
      </c>
      <c r="D812" s="55">
        <v>21.332000000000001</v>
      </c>
      <c r="E812" s="55" t="s">
        <v>527</v>
      </c>
      <c r="F812" s="55" t="s">
        <v>527</v>
      </c>
    </row>
    <row r="813" spans="1:6">
      <c r="A813" s="54">
        <v>40357</v>
      </c>
      <c r="B813" s="55">
        <v>26.568999999999999</v>
      </c>
      <c r="C813" s="55">
        <v>16.626999999999999</v>
      </c>
      <c r="D813" s="55">
        <v>21.283999999999999</v>
      </c>
      <c r="E813" s="55" t="s">
        <v>527</v>
      </c>
      <c r="F813" s="55" t="s">
        <v>527</v>
      </c>
    </row>
    <row r="814" spans="1:6">
      <c r="A814" s="54">
        <v>40358</v>
      </c>
      <c r="B814" s="55">
        <v>27.571999999999999</v>
      </c>
      <c r="C814" s="55">
        <v>17.041</v>
      </c>
      <c r="D814" s="55">
        <v>22.597000000000001</v>
      </c>
      <c r="E814" s="55" t="s">
        <v>527</v>
      </c>
      <c r="F814" s="55" t="s">
        <v>527</v>
      </c>
    </row>
    <row r="815" spans="1:6">
      <c r="A815" s="54">
        <v>40359</v>
      </c>
      <c r="B815" s="55">
        <v>27.163</v>
      </c>
      <c r="C815" s="55">
        <v>16.652000000000001</v>
      </c>
      <c r="D815" s="55">
        <v>23.509</v>
      </c>
      <c r="E815" s="55" t="s">
        <v>527</v>
      </c>
      <c r="F815" s="55" t="s">
        <v>527</v>
      </c>
    </row>
    <row r="816" spans="1:6">
      <c r="A816" s="56"/>
    </row>
    <row r="817" spans="1:6">
      <c r="A817" s="57" t="s">
        <v>559</v>
      </c>
    </row>
    <row r="818" spans="1:6">
      <c r="A818" s="57" t="s">
        <v>529</v>
      </c>
    </row>
    <row r="819" spans="1:6" ht="18">
      <c r="A819" s="58" t="s">
        <v>560</v>
      </c>
    </row>
    <row r="820" spans="1:6">
      <c r="A820" s="57" t="s">
        <v>531</v>
      </c>
    </row>
    <row r="821" spans="1:6">
      <c r="A821" s="59">
        <v>542.30600000000004</v>
      </c>
    </row>
    <row r="822" spans="1:6">
      <c r="A822" s="57" t="s">
        <v>533</v>
      </c>
    </row>
    <row r="823" spans="1:6">
      <c r="A823" s="60">
        <v>33604</v>
      </c>
    </row>
    <row r="824" spans="1:6">
      <c r="A824" s="61"/>
    </row>
    <row r="825" spans="1:6" ht="30">
      <c r="A825" s="52" t="s">
        <v>521</v>
      </c>
      <c r="B825" s="52" t="s">
        <v>522</v>
      </c>
      <c r="C825" s="52" t="s">
        <v>523</v>
      </c>
      <c r="D825" s="53" t="s">
        <v>524</v>
      </c>
      <c r="E825" s="53" t="s">
        <v>525</v>
      </c>
      <c r="F825" s="53" t="s">
        <v>526</v>
      </c>
    </row>
    <row r="826" spans="1:6">
      <c r="A826" s="54">
        <v>40360</v>
      </c>
      <c r="B826" s="55">
        <v>26.789000000000001</v>
      </c>
      <c r="C826" s="55">
        <v>17.248999999999999</v>
      </c>
      <c r="D826" s="55">
        <v>23.657</v>
      </c>
      <c r="E826" s="55" t="s">
        <v>527</v>
      </c>
      <c r="F826" s="55" t="s">
        <v>527</v>
      </c>
    </row>
    <row r="827" spans="1:6">
      <c r="A827" s="54">
        <v>40361</v>
      </c>
      <c r="B827" s="55">
        <v>29.125</v>
      </c>
      <c r="C827" s="55">
        <v>18.091999999999999</v>
      </c>
      <c r="D827" s="55">
        <v>25.962</v>
      </c>
      <c r="E827" s="55" t="s">
        <v>527</v>
      </c>
      <c r="F827" s="55" t="s">
        <v>527</v>
      </c>
    </row>
    <row r="828" spans="1:6">
      <c r="A828" s="54">
        <v>40362</v>
      </c>
      <c r="B828" s="55">
        <v>27.67</v>
      </c>
      <c r="C828" s="55">
        <v>17.103999999999999</v>
      </c>
      <c r="D828" s="55">
        <v>24.777000000000001</v>
      </c>
      <c r="E828" s="55" t="s">
        <v>527</v>
      </c>
      <c r="F828" s="55" t="s">
        <v>527</v>
      </c>
    </row>
    <row r="829" spans="1:6">
      <c r="A829" s="54">
        <v>40363</v>
      </c>
      <c r="B829" s="55">
        <v>25.597999999999999</v>
      </c>
      <c r="C829" s="55">
        <v>15.945</v>
      </c>
      <c r="D829" s="55">
        <v>22.827000000000002</v>
      </c>
      <c r="E829" s="55" t="s">
        <v>527</v>
      </c>
      <c r="F829" s="55" t="s">
        <v>527</v>
      </c>
    </row>
    <row r="830" spans="1:6">
      <c r="A830" s="54">
        <v>40364</v>
      </c>
      <c r="B830" s="55">
        <v>26.355</v>
      </c>
      <c r="C830" s="55">
        <v>16.567</v>
      </c>
      <c r="D830" s="55">
        <v>23.120999999999999</v>
      </c>
      <c r="E830" s="55" t="s">
        <v>527</v>
      </c>
      <c r="F830" s="55" t="s">
        <v>527</v>
      </c>
    </row>
    <row r="831" spans="1:6">
      <c r="A831" s="54">
        <v>40365</v>
      </c>
      <c r="B831" s="55">
        <v>27.448</v>
      </c>
      <c r="C831" s="55">
        <v>17.350000000000001</v>
      </c>
      <c r="D831" s="55">
        <v>23.731999999999999</v>
      </c>
      <c r="E831" s="55" t="s">
        <v>527</v>
      </c>
      <c r="F831" s="55" t="s">
        <v>527</v>
      </c>
    </row>
    <row r="832" spans="1:6">
      <c r="A832" s="54">
        <v>40366</v>
      </c>
      <c r="B832" s="55">
        <v>27.207000000000001</v>
      </c>
      <c r="C832" s="55">
        <v>16.905999999999999</v>
      </c>
      <c r="D832" s="55">
        <v>24.033000000000001</v>
      </c>
      <c r="E832" s="55" t="s">
        <v>527</v>
      </c>
      <c r="F832" s="55" t="s">
        <v>527</v>
      </c>
    </row>
    <row r="833" spans="1:6">
      <c r="A833" s="54">
        <v>40367</v>
      </c>
      <c r="B833" s="55">
        <v>27.754999999999999</v>
      </c>
      <c r="C833" s="55">
        <v>17.260000000000002</v>
      </c>
      <c r="D833" s="55">
        <v>24.481000000000002</v>
      </c>
      <c r="E833" s="55" t="s">
        <v>527</v>
      </c>
      <c r="F833" s="55" t="s">
        <v>527</v>
      </c>
    </row>
    <row r="834" spans="1:6">
      <c r="A834" s="54">
        <v>40368</v>
      </c>
      <c r="B834" s="55">
        <v>29.251999999999999</v>
      </c>
      <c r="C834" s="55">
        <v>18.265999999999998</v>
      </c>
      <c r="D834" s="55">
        <v>25.867999999999999</v>
      </c>
      <c r="E834" s="55" t="s">
        <v>527</v>
      </c>
      <c r="F834" s="55" t="s">
        <v>527</v>
      </c>
    </row>
    <row r="835" spans="1:6">
      <c r="A835" s="54">
        <v>40369</v>
      </c>
      <c r="B835" s="55">
        <v>28.391999999999999</v>
      </c>
      <c r="C835" s="55">
        <v>17.936</v>
      </c>
      <c r="D835" s="55">
        <v>25.358000000000001</v>
      </c>
      <c r="E835" s="55" t="s">
        <v>527</v>
      </c>
      <c r="F835" s="55" t="s">
        <v>527</v>
      </c>
    </row>
    <row r="836" spans="1:6">
      <c r="A836" s="54">
        <v>40370</v>
      </c>
      <c r="B836" s="55">
        <v>25.866</v>
      </c>
      <c r="C836" s="55">
        <v>16.198</v>
      </c>
      <c r="D836" s="55">
        <v>22.812999999999999</v>
      </c>
      <c r="E836" s="55" t="s">
        <v>527</v>
      </c>
      <c r="F836" s="55" t="s">
        <v>527</v>
      </c>
    </row>
    <row r="837" spans="1:6">
      <c r="A837" s="54">
        <v>40371</v>
      </c>
      <c r="B837" s="55">
        <v>26</v>
      </c>
      <c r="C837" s="55">
        <v>16.486000000000001</v>
      </c>
      <c r="D837" s="55">
        <v>22.818999999999999</v>
      </c>
      <c r="E837" s="55" t="s">
        <v>527</v>
      </c>
      <c r="F837" s="55" t="s">
        <v>527</v>
      </c>
    </row>
    <row r="838" spans="1:6">
      <c r="A838" s="54">
        <v>40372</v>
      </c>
      <c r="B838" s="55">
        <v>32.277000000000001</v>
      </c>
      <c r="C838" s="55">
        <v>20.898</v>
      </c>
      <c r="D838" s="55">
        <v>28.923999999999999</v>
      </c>
      <c r="E838" s="55" t="s">
        <v>527</v>
      </c>
      <c r="F838" s="55" t="s">
        <v>527</v>
      </c>
    </row>
    <row r="839" spans="1:6">
      <c r="A839" s="54">
        <v>40373</v>
      </c>
      <c r="B839" s="55">
        <v>33.930999999999997</v>
      </c>
      <c r="C839" s="55">
        <v>21.745999999999999</v>
      </c>
      <c r="D839" s="55">
        <v>30.527999999999999</v>
      </c>
      <c r="E839" s="55" t="s">
        <v>527</v>
      </c>
      <c r="F839" s="55" t="s">
        <v>527</v>
      </c>
    </row>
    <row r="840" spans="1:6">
      <c r="A840" s="54">
        <v>40374</v>
      </c>
      <c r="B840" s="55">
        <v>32.631999999999998</v>
      </c>
      <c r="C840" s="55">
        <v>20.786999999999999</v>
      </c>
      <c r="D840" s="55">
        <v>29.28</v>
      </c>
      <c r="E840" s="55" t="s">
        <v>527</v>
      </c>
      <c r="F840" s="55" t="s">
        <v>527</v>
      </c>
    </row>
    <row r="841" spans="1:6">
      <c r="A841" s="54">
        <v>40375</v>
      </c>
      <c r="B841" s="55">
        <v>33.588000000000001</v>
      </c>
      <c r="C841" s="55">
        <v>21.393999999999998</v>
      </c>
      <c r="D841" s="55">
        <v>30.234999999999999</v>
      </c>
      <c r="E841" s="55" t="s">
        <v>527</v>
      </c>
      <c r="F841" s="55" t="s">
        <v>527</v>
      </c>
    </row>
    <row r="842" spans="1:6">
      <c r="A842" s="54">
        <v>40376</v>
      </c>
      <c r="B842" s="55">
        <v>33.201999999999998</v>
      </c>
      <c r="C842" s="55">
        <v>20.576000000000001</v>
      </c>
      <c r="D842" s="55">
        <v>29.678000000000001</v>
      </c>
      <c r="E842" s="55" t="s">
        <v>527</v>
      </c>
      <c r="F842" s="55" t="s">
        <v>527</v>
      </c>
    </row>
    <row r="843" spans="1:6">
      <c r="A843" s="54">
        <v>40377</v>
      </c>
      <c r="B843" s="55">
        <v>42.284999999999997</v>
      </c>
      <c r="C843" s="55">
        <v>27.091000000000001</v>
      </c>
      <c r="D843" s="55">
        <v>38.68</v>
      </c>
      <c r="E843" s="55" t="s">
        <v>527</v>
      </c>
      <c r="F843" s="55" t="s">
        <v>527</v>
      </c>
    </row>
    <row r="844" spans="1:6">
      <c r="A844" s="54">
        <v>40378</v>
      </c>
      <c r="B844" s="55">
        <v>49.567</v>
      </c>
      <c r="C844" s="55">
        <v>31.393000000000001</v>
      </c>
      <c r="D844" s="55">
        <v>45.601999999999997</v>
      </c>
      <c r="E844" s="55" t="s">
        <v>527</v>
      </c>
      <c r="F844" s="55" t="s">
        <v>527</v>
      </c>
    </row>
    <row r="845" spans="1:6">
      <c r="A845" s="54">
        <v>40379</v>
      </c>
      <c r="B845" s="55">
        <v>48.753</v>
      </c>
      <c r="C845" s="55">
        <v>30.594999999999999</v>
      </c>
      <c r="D845" s="55">
        <v>44.942999999999998</v>
      </c>
      <c r="E845" s="55" t="s">
        <v>527</v>
      </c>
      <c r="F845" s="55" t="s">
        <v>527</v>
      </c>
    </row>
    <row r="846" spans="1:6">
      <c r="A846" s="54">
        <v>40380</v>
      </c>
      <c r="B846" s="55">
        <v>47.643000000000001</v>
      </c>
      <c r="C846" s="55">
        <v>29.53</v>
      </c>
      <c r="D846" s="55">
        <v>43.844000000000001</v>
      </c>
      <c r="E846" s="55" t="s">
        <v>527</v>
      </c>
      <c r="F846" s="55" t="s">
        <v>527</v>
      </c>
    </row>
    <row r="847" spans="1:6">
      <c r="A847" s="54">
        <v>40381</v>
      </c>
      <c r="B847" s="55">
        <v>47.884</v>
      </c>
      <c r="C847" s="55">
        <v>29.805</v>
      </c>
      <c r="D847" s="55">
        <v>44.183999999999997</v>
      </c>
      <c r="E847" s="55" t="s">
        <v>527</v>
      </c>
      <c r="F847" s="55" t="s">
        <v>527</v>
      </c>
    </row>
    <row r="848" spans="1:6">
      <c r="A848" s="54">
        <v>40382</v>
      </c>
      <c r="B848" s="55">
        <v>52.893000000000001</v>
      </c>
      <c r="C848" s="55">
        <v>33.046999999999997</v>
      </c>
      <c r="D848" s="55">
        <v>48.524000000000001</v>
      </c>
      <c r="E848" s="55" t="s">
        <v>527</v>
      </c>
      <c r="F848" s="55" t="s">
        <v>527</v>
      </c>
    </row>
    <row r="849" spans="1:6">
      <c r="A849" s="54">
        <v>40383</v>
      </c>
      <c r="B849" s="55">
        <v>50.796999999999997</v>
      </c>
      <c r="C849" s="55">
        <v>31.677</v>
      </c>
      <c r="D849" s="55">
        <v>46.741999999999997</v>
      </c>
      <c r="E849" s="55" t="s">
        <v>527</v>
      </c>
      <c r="F849" s="55" t="s">
        <v>527</v>
      </c>
    </row>
    <row r="850" spans="1:6">
      <c r="A850" s="54">
        <v>40384</v>
      </c>
      <c r="B850" s="55">
        <v>45.216999999999999</v>
      </c>
      <c r="C850" s="55">
        <v>28.321999999999999</v>
      </c>
      <c r="D850" s="55">
        <v>41.485999999999997</v>
      </c>
      <c r="E850" s="55" t="s">
        <v>527</v>
      </c>
      <c r="F850" s="55" t="s">
        <v>527</v>
      </c>
    </row>
    <row r="851" spans="1:6">
      <c r="A851" s="54">
        <v>40385</v>
      </c>
      <c r="B851" s="55">
        <v>46.850999999999999</v>
      </c>
      <c r="C851" s="55">
        <v>29.454000000000001</v>
      </c>
      <c r="D851" s="55">
        <v>42.854999999999997</v>
      </c>
      <c r="E851" s="55" t="s">
        <v>527</v>
      </c>
      <c r="F851" s="55" t="s">
        <v>527</v>
      </c>
    </row>
    <row r="852" spans="1:6">
      <c r="A852" s="54">
        <v>40386</v>
      </c>
      <c r="B852" s="55">
        <v>43.493000000000002</v>
      </c>
      <c r="C852" s="55">
        <v>27.279</v>
      </c>
      <c r="D852" s="55">
        <v>39.734999999999999</v>
      </c>
      <c r="E852" s="55" t="s">
        <v>527</v>
      </c>
      <c r="F852" s="55" t="s">
        <v>527</v>
      </c>
    </row>
    <row r="853" spans="1:6">
      <c r="A853" s="54">
        <v>40387</v>
      </c>
      <c r="B853" s="55">
        <v>43.323</v>
      </c>
      <c r="C853" s="55">
        <v>27.355</v>
      </c>
      <c r="D853" s="55">
        <v>39.613999999999997</v>
      </c>
      <c r="E853" s="55" t="s">
        <v>527</v>
      </c>
      <c r="F853" s="55" t="s">
        <v>527</v>
      </c>
    </row>
    <row r="854" spans="1:6">
      <c r="A854" s="54">
        <v>40388</v>
      </c>
      <c r="B854" s="55">
        <v>43.581000000000003</v>
      </c>
      <c r="C854" s="55">
        <v>27.675999999999998</v>
      </c>
      <c r="D854" s="55">
        <v>39.959000000000003</v>
      </c>
      <c r="E854" s="55" t="s">
        <v>527</v>
      </c>
      <c r="F854" s="55" t="s">
        <v>527</v>
      </c>
    </row>
    <row r="855" spans="1:6">
      <c r="A855" s="54">
        <v>40389</v>
      </c>
      <c r="B855" s="55">
        <v>48.567999999999998</v>
      </c>
      <c r="C855" s="55">
        <v>30.864000000000001</v>
      </c>
      <c r="D855" s="55">
        <v>44.655000000000001</v>
      </c>
      <c r="E855" s="55" t="s">
        <v>527</v>
      </c>
      <c r="F855" s="55" t="s">
        <v>527</v>
      </c>
    </row>
    <row r="856" spans="1:6">
      <c r="A856" s="54">
        <v>40390</v>
      </c>
      <c r="B856" s="55">
        <v>45.198</v>
      </c>
      <c r="C856" s="55">
        <v>28.358000000000001</v>
      </c>
      <c r="D856" s="55">
        <v>41.301000000000002</v>
      </c>
      <c r="E856" s="55" t="s">
        <v>527</v>
      </c>
      <c r="F856" s="55" t="s">
        <v>527</v>
      </c>
    </row>
    <row r="857" spans="1:6">
      <c r="A857" s="56"/>
    </row>
    <row r="858" spans="1:6">
      <c r="A858" s="57" t="s">
        <v>561</v>
      </c>
    </row>
    <row r="859" spans="1:6">
      <c r="A859" s="57" t="s">
        <v>529</v>
      </c>
    </row>
    <row r="860" spans="1:6" ht="18">
      <c r="A860" s="58" t="s">
        <v>562</v>
      </c>
    </row>
    <row r="861" spans="1:6">
      <c r="A861" s="57" t="s">
        <v>531</v>
      </c>
    </row>
    <row r="862" spans="1:6">
      <c r="A862" s="59">
        <v>556.20699999999999</v>
      </c>
    </row>
    <row r="863" spans="1:6">
      <c r="A863" s="57" t="s">
        <v>533</v>
      </c>
    </row>
    <row r="864" spans="1:6">
      <c r="A864" s="60">
        <v>33970</v>
      </c>
    </row>
    <row r="865" spans="1:6">
      <c r="A865" s="61"/>
    </row>
    <row r="866" spans="1:6" ht="30">
      <c r="A866" s="52" t="s">
        <v>521</v>
      </c>
      <c r="B866" s="52" t="s">
        <v>522</v>
      </c>
      <c r="C866" s="52" t="s">
        <v>523</v>
      </c>
      <c r="D866" s="53" t="s">
        <v>524</v>
      </c>
      <c r="E866" s="53" t="s">
        <v>525</v>
      </c>
      <c r="F866" s="53" t="s">
        <v>526</v>
      </c>
    </row>
    <row r="867" spans="1:6">
      <c r="A867" s="54">
        <v>40391</v>
      </c>
      <c r="B867" s="55">
        <v>40.316000000000003</v>
      </c>
      <c r="C867" s="55">
        <v>25.417000000000002</v>
      </c>
      <c r="D867" s="55">
        <v>37.033999999999999</v>
      </c>
      <c r="E867" s="55" t="s">
        <v>527</v>
      </c>
      <c r="F867" s="55" t="s">
        <v>527</v>
      </c>
    </row>
    <row r="868" spans="1:6">
      <c r="A868" s="54">
        <v>40392</v>
      </c>
      <c r="B868" s="55">
        <v>41.804000000000002</v>
      </c>
      <c r="C868" s="55">
        <v>26.756</v>
      </c>
      <c r="D868" s="55">
        <v>38.572000000000003</v>
      </c>
      <c r="E868" s="55" t="s">
        <v>527</v>
      </c>
      <c r="F868" s="55" t="s">
        <v>527</v>
      </c>
    </row>
    <row r="869" spans="1:6">
      <c r="A869" s="54">
        <v>40393</v>
      </c>
      <c r="B869" s="55">
        <v>41.97</v>
      </c>
      <c r="C869" s="55">
        <v>26.555</v>
      </c>
      <c r="D869" s="55">
        <v>37.968000000000004</v>
      </c>
      <c r="E869" s="55" t="s">
        <v>527</v>
      </c>
      <c r="F869" s="55" t="s">
        <v>527</v>
      </c>
    </row>
    <row r="870" spans="1:6">
      <c r="A870" s="54">
        <v>40394</v>
      </c>
      <c r="B870" s="55">
        <v>40.396999999999998</v>
      </c>
      <c r="C870" s="55">
        <v>25.603999999999999</v>
      </c>
      <c r="D870" s="55">
        <v>36.682000000000002</v>
      </c>
      <c r="E870" s="55" t="s">
        <v>527</v>
      </c>
      <c r="F870" s="55" t="s">
        <v>527</v>
      </c>
    </row>
    <row r="871" spans="1:6">
      <c r="A871" s="54">
        <v>40395</v>
      </c>
      <c r="B871" s="55">
        <v>40.42</v>
      </c>
      <c r="C871" s="55">
        <v>25.695</v>
      </c>
      <c r="D871" s="55">
        <v>36.590000000000003</v>
      </c>
      <c r="E871" s="55" t="s">
        <v>527</v>
      </c>
      <c r="F871" s="55" t="s">
        <v>527</v>
      </c>
    </row>
    <row r="872" spans="1:6">
      <c r="A872" s="54">
        <v>40396</v>
      </c>
      <c r="B872" s="55">
        <v>43.978999999999999</v>
      </c>
      <c r="C872" s="55">
        <v>27.963000000000001</v>
      </c>
      <c r="D872" s="55">
        <v>40.073</v>
      </c>
      <c r="E872" s="55" t="s">
        <v>527</v>
      </c>
      <c r="F872" s="55" t="s">
        <v>527</v>
      </c>
    </row>
    <row r="873" spans="1:6">
      <c r="A873" s="54">
        <v>40397</v>
      </c>
      <c r="B873" s="55">
        <v>41.232999999999997</v>
      </c>
      <c r="C873" s="55">
        <v>25.882999999999999</v>
      </c>
      <c r="D873" s="55">
        <v>37.686999999999998</v>
      </c>
      <c r="E873" s="55" t="s">
        <v>527</v>
      </c>
      <c r="F873" s="55" t="s">
        <v>527</v>
      </c>
    </row>
    <row r="874" spans="1:6">
      <c r="A874" s="54">
        <v>40398</v>
      </c>
      <c r="B874" s="55">
        <v>37.896000000000001</v>
      </c>
      <c r="C874" s="55">
        <v>24.024000000000001</v>
      </c>
      <c r="D874" s="55">
        <v>34.158999999999999</v>
      </c>
      <c r="E874" s="55" t="s">
        <v>527</v>
      </c>
      <c r="F874" s="55" t="s">
        <v>527</v>
      </c>
    </row>
    <row r="875" spans="1:6">
      <c r="A875" s="54">
        <v>40399</v>
      </c>
      <c r="B875" s="55">
        <v>38.445</v>
      </c>
      <c r="C875" s="55">
        <v>24.489000000000001</v>
      </c>
      <c r="D875" s="55">
        <v>34.661000000000001</v>
      </c>
      <c r="E875" s="55" t="s">
        <v>527</v>
      </c>
      <c r="F875" s="55" t="s">
        <v>527</v>
      </c>
    </row>
    <row r="876" spans="1:6">
      <c r="A876" s="54">
        <v>40400</v>
      </c>
      <c r="B876" s="55">
        <v>38.585999999999999</v>
      </c>
      <c r="C876" s="55">
        <v>24.599</v>
      </c>
      <c r="D876" s="55">
        <v>34.884999999999998</v>
      </c>
      <c r="E876" s="55" t="s">
        <v>527</v>
      </c>
      <c r="F876" s="55" t="s">
        <v>527</v>
      </c>
    </row>
    <row r="877" spans="1:6">
      <c r="A877" s="54">
        <v>40401</v>
      </c>
      <c r="B877" s="55">
        <v>38.752000000000002</v>
      </c>
      <c r="C877" s="55">
        <v>24.765000000000001</v>
      </c>
      <c r="D877" s="55">
        <v>35.377000000000002</v>
      </c>
      <c r="E877" s="55" t="s">
        <v>527</v>
      </c>
      <c r="F877" s="55" t="s">
        <v>527</v>
      </c>
    </row>
    <row r="878" spans="1:6">
      <c r="A878" s="54">
        <v>40402</v>
      </c>
      <c r="B878" s="55">
        <v>38.676000000000002</v>
      </c>
      <c r="C878" s="55">
        <v>24.318000000000001</v>
      </c>
      <c r="D878" s="55">
        <v>35.177</v>
      </c>
      <c r="E878" s="55" t="s">
        <v>527</v>
      </c>
      <c r="F878" s="55" t="s">
        <v>527</v>
      </c>
    </row>
    <row r="879" spans="1:6">
      <c r="A879" s="54">
        <v>40403</v>
      </c>
      <c r="B879" s="55">
        <v>42.710999999999999</v>
      </c>
      <c r="C879" s="55">
        <v>27.081</v>
      </c>
      <c r="D879" s="55">
        <v>38.823</v>
      </c>
      <c r="E879" s="55" t="s">
        <v>527</v>
      </c>
      <c r="F879" s="55" t="s">
        <v>527</v>
      </c>
    </row>
    <row r="880" spans="1:6">
      <c r="A880" s="54">
        <v>40404</v>
      </c>
      <c r="B880" s="55">
        <v>41.698</v>
      </c>
      <c r="C880" s="55">
        <v>26.061</v>
      </c>
      <c r="D880" s="55">
        <v>38.308</v>
      </c>
      <c r="E880" s="55" t="s">
        <v>527</v>
      </c>
      <c r="F880" s="55" t="s">
        <v>527</v>
      </c>
    </row>
    <row r="881" spans="1:6">
      <c r="A881" s="54">
        <v>40405</v>
      </c>
      <c r="B881" s="55">
        <v>36.561999999999998</v>
      </c>
      <c r="C881" s="55">
        <v>23.367999999999999</v>
      </c>
      <c r="D881" s="55">
        <v>33.514000000000003</v>
      </c>
      <c r="E881" s="55" t="s">
        <v>527</v>
      </c>
      <c r="F881" s="55" t="s">
        <v>527</v>
      </c>
    </row>
    <row r="882" spans="1:6">
      <c r="A882" s="54">
        <v>40406</v>
      </c>
      <c r="B882" s="55">
        <v>36.021000000000001</v>
      </c>
      <c r="C882" s="55">
        <v>23.282</v>
      </c>
      <c r="D882" s="55">
        <v>33.072000000000003</v>
      </c>
      <c r="E882" s="55" t="s">
        <v>527</v>
      </c>
      <c r="F882" s="55" t="s">
        <v>527</v>
      </c>
    </row>
    <row r="883" spans="1:6">
      <c r="A883" s="54">
        <v>40407</v>
      </c>
      <c r="B883" s="55">
        <v>36.308</v>
      </c>
      <c r="C883" s="55">
        <v>23.169</v>
      </c>
      <c r="D883" s="55">
        <v>33.378999999999998</v>
      </c>
      <c r="E883" s="55" t="s">
        <v>527</v>
      </c>
      <c r="F883" s="55" t="s">
        <v>527</v>
      </c>
    </row>
    <row r="884" spans="1:6">
      <c r="A884" s="54">
        <v>40408</v>
      </c>
      <c r="B884" s="55">
        <v>35.917000000000002</v>
      </c>
      <c r="C884" s="55">
        <v>22.844999999999999</v>
      </c>
      <c r="D884" s="55">
        <v>33.018999999999998</v>
      </c>
      <c r="E884" s="55" t="s">
        <v>527</v>
      </c>
      <c r="F884" s="55" t="s">
        <v>527</v>
      </c>
    </row>
    <row r="885" spans="1:6">
      <c r="A885" s="54">
        <v>40409</v>
      </c>
      <c r="B885" s="55">
        <v>34.83</v>
      </c>
      <c r="C885" s="55">
        <v>22.402000000000001</v>
      </c>
      <c r="D885" s="55">
        <v>32.012999999999998</v>
      </c>
      <c r="E885" s="55" t="s">
        <v>527</v>
      </c>
      <c r="F885" s="55" t="s">
        <v>527</v>
      </c>
    </row>
    <row r="886" spans="1:6">
      <c r="A886" s="54">
        <v>40410</v>
      </c>
      <c r="B886" s="55">
        <v>39.482999999999997</v>
      </c>
      <c r="C886" s="55">
        <v>25.225000000000001</v>
      </c>
      <c r="D886" s="55">
        <v>36.372999999999998</v>
      </c>
      <c r="E886" s="55" t="s">
        <v>527</v>
      </c>
      <c r="F886" s="55" t="s">
        <v>527</v>
      </c>
    </row>
    <row r="887" spans="1:6">
      <c r="A887" s="54">
        <v>40411</v>
      </c>
      <c r="B887" s="55">
        <v>39.866</v>
      </c>
      <c r="C887" s="55">
        <v>25.231999999999999</v>
      </c>
      <c r="D887" s="55">
        <v>36.332999999999998</v>
      </c>
      <c r="E887" s="55" t="s">
        <v>527</v>
      </c>
      <c r="F887" s="55" t="s">
        <v>527</v>
      </c>
    </row>
    <row r="888" spans="1:6">
      <c r="A888" s="54">
        <v>40412</v>
      </c>
      <c r="B888" s="55">
        <v>34.226999999999997</v>
      </c>
      <c r="C888" s="55">
        <v>21.683</v>
      </c>
      <c r="D888" s="55">
        <v>30.850999999999999</v>
      </c>
      <c r="E888" s="55" t="s">
        <v>527</v>
      </c>
      <c r="F888" s="55" t="s">
        <v>527</v>
      </c>
    </row>
    <row r="889" spans="1:6">
      <c r="A889" s="54">
        <v>40413</v>
      </c>
      <c r="B889" s="55">
        <v>34.726999999999997</v>
      </c>
      <c r="C889" s="55">
        <v>22.504000000000001</v>
      </c>
      <c r="D889" s="55">
        <v>31.731000000000002</v>
      </c>
      <c r="E889" s="55" t="s">
        <v>527</v>
      </c>
      <c r="F889" s="55" t="s">
        <v>527</v>
      </c>
    </row>
    <row r="890" spans="1:6">
      <c r="A890" s="54">
        <v>40414</v>
      </c>
      <c r="B890" s="55">
        <v>33.302999999999997</v>
      </c>
      <c r="C890" s="55">
        <v>21.516999999999999</v>
      </c>
      <c r="D890" s="55">
        <v>30.428000000000001</v>
      </c>
      <c r="E890" s="55" t="s">
        <v>527</v>
      </c>
      <c r="F890" s="55" t="s">
        <v>527</v>
      </c>
    </row>
    <row r="891" spans="1:6">
      <c r="A891" s="54">
        <v>40415</v>
      </c>
      <c r="B891" s="55">
        <v>32.741</v>
      </c>
      <c r="C891" s="55">
        <v>21.315999999999999</v>
      </c>
      <c r="D891" s="55">
        <v>30.138000000000002</v>
      </c>
      <c r="E891" s="55" t="s">
        <v>527</v>
      </c>
      <c r="F891" s="55" t="s">
        <v>527</v>
      </c>
    </row>
    <row r="892" spans="1:6">
      <c r="A892" s="54">
        <v>40416</v>
      </c>
      <c r="B892" s="55">
        <v>33.555999999999997</v>
      </c>
      <c r="C892" s="55">
        <v>21.843</v>
      </c>
      <c r="D892" s="55">
        <v>30.553000000000001</v>
      </c>
      <c r="E892" s="55" t="s">
        <v>527</v>
      </c>
      <c r="F892" s="55" t="s">
        <v>527</v>
      </c>
    </row>
    <row r="893" spans="1:6">
      <c r="A893" s="54">
        <v>40417</v>
      </c>
      <c r="B893" s="55">
        <v>39.598999999999997</v>
      </c>
      <c r="C893" s="55">
        <v>25.542999999999999</v>
      </c>
      <c r="D893" s="55">
        <v>36.401000000000003</v>
      </c>
      <c r="E893" s="55" t="s">
        <v>527</v>
      </c>
      <c r="F893" s="55" t="s">
        <v>527</v>
      </c>
    </row>
    <row r="894" spans="1:6">
      <c r="A894" s="54">
        <v>40418</v>
      </c>
      <c r="B894" s="55">
        <v>40.735999999999997</v>
      </c>
      <c r="C894" s="55">
        <v>25.51</v>
      </c>
      <c r="D894" s="55">
        <v>37.244</v>
      </c>
      <c r="E894" s="55" t="s">
        <v>527</v>
      </c>
      <c r="F894" s="55" t="s">
        <v>527</v>
      </c>
    </row>
    <row r="895" spans="1:6">
      <c r="A895" s="54">
        <v>40419</v>
      </c>
      <c r="B895" s="55">
        <v>36.301000000000002</v>
      </c>
      <c r="C895" s="55">
        <v>22.335999999999999</v>
      </c>
      <c r="D895" s="55">
        <v>33.052999999999997</v>
      </c>
      <c r="E895" s="55" t="s">
        <v>527</v>
      </c>
      <c r="F895" s="55" t="s">
        <v>527</v>
      </c>
    </row>
    <row r="896" spans="1:6">
      <c r="A896" s="54">
        <v>40420</v>
      </c>
      <c r="B896" s="55">
        <v>33.802999999999997</v>
      </c>
      <c r="C896" s="55">
        <v>20.821000000000002</v>
      </c>
      <c r="D896" s="55">
        <v>30.137</v>
      </c>
      <c r="E896" s="55" t="s">
        <v>527</v>
      </c>
      <c r="F896" s="55" t="s">
        <v>527</v>
      </c>
    </row>
    <row r="897" spans="1:6">
      <c r="A897" s="54">
        <v>40421</v>
      </c>
      <c r="B897" s="55">
        <v>31.867999999999999</v>
      </c>
      <c r="C897" s="55">
        <v>20.728999999999999</v>
      </c>
      <c r="D897" s="55">
        <v>29.391999999999999</v>
      </c>
      <c r="E897" s="55" t="s">
        <v>527</v>
      </c>
      <c r="F897" s="55" t="s">
        <v>527</v>
      </c>
    </row>
    <row r="898" spans="1:6">
      <c r="A898" s="56"/>
    </row>
    <row r="899" spans="1:6">
      <c r="A899" s="57" t="s">
        <v>563</v>
      </c>
    </row>
    <row r="900" spans="1:6">
      <c r="A900" s="57" t="s">
        <v>529</v>
      </c>
    </row>
    <row r="901" spans="1:6" ht="18">
      <c r="A901" s="58">
        <v>853.673</v>
      </c>
    </row>
    <row r="902" spans="1:6">
      <c r="A902" s="57" t="s">
        <v>531</v>
      </c>
    </row>
    <row r="903" spans="1:6">
      <c r="A903" s="59">
        <v>457.90300000000002</v>
      </c>
    </row>
    <row r="904" spans="1:6">
      <c r="A904" s="57" t="s">
        <v>533</v>
      </c>
    </row>
    <row r="905" spans="1:6">
      <c r="A905" s="60">
        <v>31413</v>
      </c>
    </row>
    <row r="906" spans="1:6">
      <c r="A906" s="61"/>
    </row>
    <row r="907" spans="1:6" ht="30">
      <c r="A907" s="52" t="s">
        <v>521</v>
      </c>
      <c r="B907" s="52" t="s">
        <v>522</v>
      </c>
      <c r="C907" s="52" t="s">
        <v>523</v>
      </c>
      <c r="D907" s="53" t="s">
        <v>524</v>
      </c>
      <c r="E907" s="53" t="s">
        <v>525</v>
      </c>
      <c r="F907" s="53" t="s">
        <v>526</v>
      </c>
    </row>
    <row r="908" spans="1:6">
      <c r="A908" s="54">
        <v>40422</v>
      </c>
      <c r="B908" s="55">
        <v>30.654</v>
      </c>
      <c r="C908" s="55">
        <v>20.178000000000001</v>
      </c>
      <c r="D908" s="55">
        <v>28.286000000000001</v>
      </c>
      <c r="E908" s="55" t="s">
        <v>527</v>
      </c>
      <c r="F908" s="55" t="s">
        <v>527</v>
      </c>
    </row>
    <row r="909" spans="1:6">
      <c r="A909" s="54">
        <v>40423</v>
      </c>
      <c r="B909" s="55">
        <v>29.84</v>
      </c>
      <c r="C909" s="55">
        <v>19.786999999999999</v>
      </c>
      <c r="D909" s="55">
        <v>27.640999999999998</v>
      </c>
      <c r="E909" s="55" t="s">
        <v>527</v>
      </c>
      <c r="F909" s="55" t="s">
        <v>527</v>
      </c>
    </row>
    <row r="910" spans="1:6">
      <c r="A910" s="54">
        <v>40424</v>
      </c>
      <c r="B910" s="55">
        <v>38.606999999999999</v>
      </c>
      <c r="C910" s="55">
        <v>25.439</v>
      </c>
      <c r="D910" s="55">
        <v>35.866999999999997</v>
      </c>
      <c r="E910" s="55" t="s">
        <v>527</v>
      </c>
      <c r="F910" s="55" t="s">
        <v>527</v>
      </c>
    </row>
    <row r="911" spans="1:6">
      <c r="A911" s="54">
        <v>40425</v>
      </c>
      <c r="B911" s="55">
        <v>40.746000000000002</v>
      </c>
      <c r="C911" s="55">
        <v>26.064</v>
      </c>
      <c r="D911" s="55">
        <v>37.570999999999998</v>
      </c>
      <c r="E911" s="55" t="s">
        <v>527</v>
      </c>
      <c r="F911" s="55" t="s">
        <v>527</v>
      </c>
    </row>
    <row r="912" spans="1:6">
      <c r="A912" s="54">
        <v>40426</v>
      </c>
      <c r="B912" s="55">
        <v>32.332000000000001</v>
      </c>
      <c r="C912" s="55">
        <v>20.416</v>
      </c>
      <c r="D912" s="55">
        <v>29.869</v>
      </c>
      <c r="E912" s="55" t="s">
        <v>527</v>
      </c>
      <c r="F912" s="55" t="s">
        <v>527</v>
      </c>
    </row>
    <row r="913" spans="1:6">
      <c r="A913" s="54">
        <v>40427</v>
      </c>
      <c r="B913" s="55">
        <v>30.22</v>
      </c>
      <c r="C913" s="55">
        <v>19.579999999999998</v>
      </c>
      <c r="D913" s="55">
        <v>27.76</v>
      </c>
      <c r="E913" s="55" t="s">
        <v>527</v>
      </c>
      <c r="F913" s="55" t="s">
        <v>527</v>
      </c>
    </row>
    <row r="914" spans="1:6">
      <c r="A914" s="54">
        <v>40428</v>
      </c>
      <c r="B914" s="55">
        <v>26.917999999999999</v>
      </c>
      <c r="C914" s="55">
        <v>18.056000000000001</v>
      </c>
      <c r="D914" s="55">
        <v>24.876000000000001</v>
      </c>
      <c r="E914" s="55" t="s">
        <v>527</v>
      </c>
      <c r="F914" s="55" t="s">
        <v>527</v>
      </c>
    </row>
    <row r="915" spans="1:6">
      <c r="A915" s="54">
        <v>40429</v>
      </c>
      <c r="B915" s="55">
        <v>27.077999999999999</v>
      </c>
      <c r="C915" s="55">
        <v>17.863</v>
      </c>
      <c r="D915" s="55">
        <v>25.138000000000002</v>
      </c>
      <c r="E915" s="55" t="s">
        <v>527</v>
      </c>
      <c r="F915" s="55" t="s">
        <v>527</v>
      </c>
    </row>
    <row r="916" spans="1:6">
      <c r="A916" s="54">
        <v>40430</v>
      </c>
      <c r="B916" s="55">
        <v>28.495999999999999</v>
      </c>
      <c r="C916" s="55">
        <v>18.853000000000002</v>
      </c>
      <c r="D916" s="55">
        <v>26.366</v>
      </c>
      <c r="E916" s="55" t="s">
        <v>527</v>
      </c>
      <c r="F916" s="55" t="s">
        <v>527</v>
      </c>
    </row>
    <row r="917" spans="1:6">
      <c r="A917" s="54">
        <v>40431</v>
      </c>
      <c r="B917" s="55">
        <v>36.380000000000003</v>
      </c>
      <c r="C917" s="55">
        <v>23.84</v>
      </c>
      <c r="D917" s="55">
        <v>33.86</v>
      </c>
      <c r="E917" s="55" t="s">
        <v>527</v>
      </c>
      <c r="F917" s="55" t="s">
        <v>527</v>
      </c>
    </row>
    <row r="918" spans="1:6">
      <c r="A918" s="54">
        <v>40432</v>
      </c>
      <c r="B918" s="55">
        <v>41.088999999999999</v>
      </c>
      <c r="C918" s="55">
        <v>26.173999999999999</v>
      </c>
      <c r="D918" s="55">
        <v>37.988</v>
      </c>
      <c r="E918" s="55" t="s">
        <v>527</v>
      </c>
      <c r="F918" s="55" t="s">
        <v>527</v>
      </c>
    </row>
    <row r="919" spans="1:6">
      <c r="A919" s="54">
        <v>40433</v>
      </c>
      <c r="B919" s="55">
        <v>32.914000000000001</v>
      </c>
      <c r="C919" s="55">
        <v>20.969000000000001</v>
      </c>
      <c r="D919" s="55">
        <v>30.376000000000001</v>
      </c>
      <c r="E919" s="55" t="s">
        <v>527</v>
      </c>
      <c r="F919" s="55" t="s">
        <v>527</v>
      </c>
    </row>
    <row r="920" spans="1:6">
      <c r="A920" s="54">
        <v>40434</v>
      </c>
      <c r="B920" s="55">
        <v>25.242999999999999</v>
      </c>
      <c r="C920" s="55">
        <v>16.928000000000001</v>
      </c>
      <c r="D920" s="55">
        <v>23.288</v>
      </c>
      <c r="E920" s="55" t="s">
        <v>527</v>
      </c>
      <c r="F920" s="55" t="s">
        <v>527</v>
      </c>
    </row>
    <row r="921" spans="1:6">
      <c r="A921" s="54">
        <v>40435</v>
      </c>
      <c r="B921" s="55">
        <v>26.498999999999999</v>
      </c>
      <c r="C921" s="55">
        <v>17.707000000000001</v>
      </c>
      <c r="D921" s="55">
        <v>24.349</v>
      </c>
      <c r="E921" s="55" t="s">
        <v>527</v>
      </c>
      <c r="F921" s="55" t="s">
        <v>527</v>
      </c>
    </row>
    <row r="922" spans="1:6">
      <c r="A922" s="54">
        <v>40436</v>
      </c>
      <c r="B922" s="55">
        <v>25.928999999999998</v>
      </c>
      <c r="C922" s="55">
        <v>17.72</v>
      </c>
      <c r="D922" s="55">
        <v>24.004000000000001</v>
      </c>
      <c r="E922" s="55" t="s">
        <v>527</v>
      </c>
      <c r="F922" s="55" t="s">
        <v>527</v>
      </c>
    </row>
    <row r="923" spans="1:6">
      <c r="A923" s="54">
        <v>40437</v>
      </c>
      <c r="B923" s="55">
        <v>26.524999999999999</v>
      </c>
      <c r="C923" s="55">
        <v>17.725999999999999</v>
      </c>
      <c r="D923" s="55">
        <v>24.536999999999999</v>
      </c>
      <c r="E923" s="55" t="s">
        <v>527</v>
      </c>
      <c r="F923" s="55" t="s">
        <v>527</v>
      </c>
    </row>
    <row r="924" spans="1:6">
      <c r="A924" s="54">
        <v>40438</v>
      </c>
      <c r="B924" s="55">
        <v>37.206000000000003</v>
      </c>
      <c r="C924" s="55">
        <v>24.899000000000001</v>
      </c>
      <c r="D924" s="55">
        <v>34.237000000000002</v>
      </c>
      <c r="E924" s="55" t="s">
        <v>527</v>
      </c>
      <c r="F924" s="55" t="s">
        <v>527</v>
      </c>
    </row>
    <row r="925" spans="1:6">
      <c r="A925" s="54">
        <v>40439</v>
      </c>
      <c r="B925" s="55">
        <v>48.033000000000001</v>
      </c>
      <c r="C925" s="55">
        <v>31.08</v>
      </c>
      <c r="D925" s="55">
        <v>44.316000000000003</v>
      </c>
      <c r="E925" s="55" t="s">
        <v>527</v>
      </c>
      <c r="F925" s="55" t="s">
        <v>527</v>
      </c>
    </row>
    <row r="926" spans="1:6">
      <c r="A926" s="54">
        <v>40440</v>
      </c>
      <c r="B926" s="55">
        <v>35.779000000000003</v>
      </c>
      <c r="C926" s="55">
        <v>22.588999999999999</v>
      </c>
      <c r="D926" s="55">
        <v>32.552</v>
      </c>
      <c r="E926" s="55" t="s">
        <v>527</v>
      </c>
      <c r="F926" s="55" t="s">
        <v>527</v>
      </c>
    </row>
    <row r="927" spans="1:6">
      <c r="A927" s="54">
        <v>40441</v>
      </c>
      <c r="B927" s="55">
        <v>26.062999999999999</v>
      </c>
      <c r="C927" s="55">
        <v>17.577999999999999</v>
      </c>
      <c r="D927" s="55">
        <v>23.721</v>
      </c>
      <c r="E927" s="55" t="s">
        <v>527</v>
      </c>
      <c r="F927" s="55" t="s">
        <v>527</v>
      </c>
    </row>
    <row r="928" spans="1:6">
      <c r="A928" s="54">
        <v>40442</v>
      </c>
      <c r="B928" s="55">
        <v>26.863</v>
      </c>
      <c r="C928" s="55">
        <v>17.632999999999999</v>
      </c>
      <c r="D928" s="55">
        <v>23.89</v>
      </c>
      <c r="E928" s="55" t="s">
        <v>527</v>
      </c>
      <c r="F928" s="55" t="s">
        <v>527</v>
      </c>
    </row>
    <row r="929" spans="1:6">
      <c r="A929" s="54">
        <v>40443</v>
      </c>
      <c r="B929" s="55">
        <v>26.021000000000001</v>
      </c>
      <c r="C929" s="55">
        <v>17.234000000000002</v>
      </c>
      <c r="D929" s="55">
        <v>23.742000000000001</v>
      </c>
      <c r="E929" s="55" t="s">
        <v>527</v>
      </c>
      <c r="F929" s="55" t="s">
        <v>527</v>
      </c>
    </row>
    <row r="930" spans="1:6">
      <c r="A930" s="54">
        <v>40444</v>
      </c>
      <c r="B930" s="55">
        <v>26.472999999999999</v>
      </c>
      <c r="C930" s="55">
        <v>17.452000000000002</v>
      </c>
      <c r="D930" s="55">
        <v>23.984999999999999</v>
      </c>
      <c r="E930" s="55" t="s">
        <v>527</v>
      </c>
      <c r="F930" s="55" t="s">
        <v>527</v>
      </c>
    </row>
    <row r="931" spans="1:6">
      <c r="A931" s="54">
        <v>40445</v>
      </c>
      <c r="B931" s="55">
        <v>35.082999999999998</v>
      </c>
      <c r="C931" s="55">
        <v>23.062999999999999</v>
      </c>
      <c r="D931" s="55">
        <v>32.274000000000001</v>
      </c>
      <c r="E931" s="55" t="s">
        <v>527</v>
      </c>
      <c r="F931" s="55" t="s">
        <v>527</v>
      </c>
    </row>
    <row r="932" spans="1:6">
      <c r="A932" s="54">
        <v>40446</v>
      </c>
      <c r="B932" s="55">
        <v>40.594000000000001</v>
      </c>
      <c r="C932" s="55">
        <v>25.617999999999999</v>
      </c>
      <c r="D932" s="55">
        <v>37.378</v>
      </c>
      <c r="E932" s="55" t="s">
        <v>527</v>
      </c>
      <c r="F932" s="55" t="s">
        <v>527</v>
      </c>
    </row>
    <row r="933" spans="1:6">
      <c r="A933" s="54">
        <v>40447</v>
      </c>
      <c r="B933" s="55">
        <v>31.876999999999999</v>
      </c>
      <c r="C933" s="55">
        <v>20.062999999999999</v>
      </c>
      <c r="D933" s="55">
        <v>29.140999999999998</v>
      </c>
      <c r="E933" s="55" t="s">
        <v>527</v>
      </c>
      <c r="F933" s="55" t="s">
        <v>527</v>
      </c>
    </row>
    <row r="934" spans="1:6">
      <c r="A934" s="54">
        <v>40448</v>
      </c>
      <c r="B934" s="55">
        <v>23.916</v>
      </c>
      <c r="C934" s="55">
        <v>15.913</v>
      </c>
      <c r="D934" s="55">
        <v>21.600999999999999</v>
      </c>
      <c r="E934" s="55" t="s">
        <v>527</v>
      </c>
      <c r="F934" s="55" t="s">
        <v>527</v>
      </c>
    </row>
    <row r="935" spans="1:6">
      <c r="A935" s="54">
        <v>40449</v>
      </c>
      <c r="B935" s="55">
        <v>23.573</v>
      </c>
      <c r="C935" s="55">
        <v>15.44</v>
      </c>
      <c r="D935" s="55">
        <v>21.222000000000001</v>
      </c>
      <c r="E935" s="55" t="s">
        <v>527</v>
      </c>
      <c r="F935" s="55" t="s">
        <v>527</v>
      </c>
    </row>
    <row r="936" spans="1:6">
      <c r="A936" s="54">
        <v>40450</v>
      </c>
      <c r="B936" s="55">
        <v>23.361000000000001</v>
      </c>
      <c r="C936" s="55">
        <v>15.129</v>
      </c>
      <c r="D936" s="55">
        <v>20.908999999999999</v>
      </c>
      <c r="E936" s="55" t="s">
        <v>527</v>
      </c>
      <c r="F936" s="55" t="s">
        <v>527</v>
      </c>
    </row>
    <row r="937" spans="1:6">
      <c r="A937" s="54">
        <v>40451</v>
      </c>
      <c r="B937" s="55">
        <v>24.925999999999998</v>
      </c>
      <c r="C937" s="55">
        <v>16.276</v>
      </c>
      <c r="D937" s="55">
        <v>22.928999999999998</v>
      </c>
      <c r="E937" s="55" t="s">
        <v>527</v>
      </c>
      <c r="F937" s="55" t="s">
        <v>527</v>
      </c>
    </row>
    <row r="938" spans="1:6">
      <c r="A938" s="56"/>
    </row>
    <row r="939" spans="1:6">
      <c r="A939" s="57" t="s">
        <v>564</v>
      </c>
    </row>
    <row r="940" spans="1:6">
      <c r="A940" s="57" t="s">
        <v>529</v>
      </c>
    </row>
    <row r="941" spans="1:6" ht="18">
      <c r="A941" s="58">
        <v>787.46699999999998</v>
      </c>
    </row>
    <row r="942" spans="1:6">
      <c r="A942" s="57" t="s">
        <v>531</v>
      </c>
    </row>
    <row r="943" spans="1:6">
      <c r="A943" s="59">
        <v>397.8</v>
      </c>
    </row>
    <row r="944" spans="1:6">
      <c r="A944" s="57" t="s">
        <v>533</v>
      </c>
    </row>
    <row r="945" spans="1:6">
      <c r="A945" s="60">
        <v>35796</v>
      </c>
    </row>
    <row r="946" spans="1:6">
      <c r="A946" s="61"/>
    </row>
    <row r="947" spans="1:6" ht="30">
      <c r="A947" s="52" t="s">
        <v>521</v>
      </c>
      <c r="B947" s="52" t="s">
        <v>522</v>
      </c>
      <c r="C947" s="52" t="s">
        <v>523</v>
      </c>
      <c r="D947" s="53" t="s">
        <v>524</v>
      </c>
      <c r="E947" s="53" t="s">
        <v>525</v>
      </c>
      <c r="F947" s="53" t="s">
        <v>526</v>
      </c>
    </row>
    <row r="948" spans="1:6">
      <c r="A948" s="54">
        <v>40452</v>
      </c>
      <c r="B948" s="55">
        <v>34.606000000000002</v>
      </c>
      <c r="C948" s="55">
        <v>22.739000000000001</v>
      </c>
      <c r="D948" s="55">
        <v>31.117000000000001</v>
      </c>
      <c r="E948" s="55" t="s">
        <v>527</v>
      </c>
      <c r="F948" s="55" t="s">
        <v>527</v>
      </c>
    </row>
    <row r="949" spans="1:6">
      <c r="A949" s="54">
        <v>40453</v>
      </c>
      <c r="B949" s="55">
        <v>38.4</v>
      </c>
      <c r="C949" s="55">
        <v>23.864000000000001</v>
      </c>
      <c r="D949" s="55">
        <v>35.996000000000002</v>
      </c>
      <c r="E949" s="55" t="s">
        <v>527</v>
      </c>
      <c r="F949" s="55" t="s">
        <v>527</v>
      </c>
    </row>
    <row r="950" spans="1:6">
      <c r="A950" s="54">
        <v>40454</v>
      </c>
      <c r="B950" s="55">
        <v>33.119</v>
      </c>
      <c r="C950" s="55">
        <v>19.254000000000001</v>
      </c>
      <c r="D950" s="55">
        <v>31.062000000000001</v>
      </c>
      <c r="E950" s="55" t="s">
        <v>527</v>
      </c>
      <c r="F950" s="55" t="s">
        <v>527</v>
      </c>
    </row>
    <row r="951" spans="1:6">
      <c r="A951" s="54">
        <v>40455</v>
      </c>
      <c r="B951" s="55">
        <v>23.504999999999999</v>
      </c>
      <c r="C951" s="55">
        <v>15.396000000000001</v>
      </c>
      <c r="D951" s="55">
        <v>22.248999999999999</v>
      </c>
      <c r="E951" s="55" t="s">
        <v>527</v>
      </c>
      <c r="F951" s="55" t="s">
        <v>527</v>
      </c>
    </row>
    <row r="952" spans="1:6">
      <c r="A952" s="54">
        <v>40456</v>
      </c>
      <c r="B952" s="55">
        <v>23</v>
      </c>
      <c r="C952" s="55">
        <v>15.42</v>
      </c>
      <c r="D952" s="55">
        <v>21.759</v>
      </c>
      <c r="E952" s="55" t="s">
        <v>527</v>
      </c>
      <c r="F952" s="55" t="s">
        <v>527</v>
      </c>
    </row>
    <row r="953" spans="1:6">
      <c r="A953" s="54">
        <v>40457</v>
      </c>
      <c r="B953" s="55">
        <v>24.021000000000001</v>
      </c>
      <c r="C953" s="55">
        <v>15.763999999999999</v>
      </c>
      <c r="D953" s="55">
        <v>22.831</v>
      </c>
      <c r="E953" s="55" t="s">
        <v>527</v>
      </c>
      <c r="F953" s="55" t="s">
        <v>527</v>
      </c>
    </row>
    <row r="954" spans="1:6">
      <c r="A954" s="54">
        <v>40458</v>
      </c>
      <c r="B954" s="55">
        <v>24.254999999999999</v>
      </c>
      <c r="C954" s="55">
        <v>15.977</v>
      </c>
      <c r="D954" s="55">
        <v>23.067</v>
      </c>
      <c r="E954" s="55" t="s">
        <v>527</v>
      </c>
      <c r="F954" s="55" t="s">
        <v>527</v>
      </c>
    </row>
    <row r="955" spans="1:6">
      <c r="A955" s="54">
        <v>40459</v>
      </c>
      <c r="B955" s="55">
        <v>31.812000000000001</v>
      </c>
      <c r="C955" s="55">
        <v>20.87</v>
      </c>
      <c r="D955" s="55">
        <v>30.231999999999999</v>
      </c>
      <c r="E955" s="55" t="s">
        <v>527</v>
      </c>
      <c r="F955" s="55" t="s">
        <v>527</v>
      </c>
    </row>
    <row r="956" spans="1:6">
      <c r="A956" s="54">
        <v>40460</v>
      </c>
      <c r="B956" s="55">
        <v>36.414999999999999</v>
      </c>
      <c r="C956" s="55">
        <v>22.908999999999999</v>
      </c>
      <c r="D956" s="55">
        <v>34.527999999999999</v>
      </c>
      <c r="E956" s="55" t="s">
        <v>527</v>
      </c>
      <c r="F956" s="55" t="s">
        <v>527</v>
      </c>
    </row>
    <row r="957" spans="1:6">
      <c r="A957" s="54">
        <v>40461</v>
      </c>
      <c r="B957" s="55">
        <v>30.189</v>
      </c>
      <c r="C957" s="55">
        <v>18.75</v>
      </c>
      <c r="D957" s="55">
        <v>28.465</v>
      </c>
      <c r="E957" s="55" t="s">
        <v>527</v>
      </c>
      <c r="F957" s="55" t="s">
        <v>527</v>
      </c>
    </row>
    <row r="958" spans="1:6">
      <c r="A958" s="54">
        <v>40462</v>
      </c>
      <c r="B958" s="55">
        <v>24.234000000000002</v>
      </c>
      <c r="C958" s="55">
        <v>15.813000000000001</v>
      </c>
      <c r="D958" s="55">
        <v>22.99</v>
      </c>
      <c r="E958" s="55" t="s">
        <v>527</v>
      </c>
      <c r="F958" s="55" t="s">
        <v>527</v>
      </c>
    </row>
    <row r="959" spans="1:6">
      <c r="A959" s="54">
        <v>40463</v>
      </c>
      <c r="B959" s="55">
        <v>23.216000000000001</v>
      </c>
      <c r="C959" s="55">
        <v>15.340999999999999</v>
      </c>
      <c r="D959" s="55">
        <v>22.053999999999998</v>
      </c>
      <c r="E959" s="55" t="s">
        <v>527</v>
      </c>
      <c r="F959" s="55" t="s">
        <v>527</v>
      </c>
    </row>
    <row r="960" spans="1:6">
      <c r="A960" s="54">
        <v>40464</v>
      </c>
      <c r="B960" s="55">
        <v>22.96</v>
      </c>
      <c r="C960" s="55">
        <v>15.048999999999999</v>
      </c>
      <c r="D960" s="55">
        <v>21.681000000000001</v>
      </c>
      <c r="E960" s="55" t="s">
        <v>527</v>
      </c>
      <c r="F960" s="55" t="s">
        <v>527</v>
      </c>
    </row>
    <row r="961" spans="1:6">
      <c r="A961" s="54">
        <v>40465</v>
      </c>
      <c r="B961" s="55">
        <v>24.062999999999999</v>
      </c>
      <c r="C961" s="55">
        <v>15.737</v>
      </c>
      <c r="D961" s="55">
        <v>22.678999999999998</v>
      </c>
      <c r="E961" s="55" t="s">
        <v>527</v>
      </c>
      <c r="F961" s="55" t="s">
        <v>527</v>
      </c>
    </row>
    <row r="962" spans="1:6">
      <c r="A962" s="54">
        <v>40466</v>
      </c>
      <c r="B962" s="55">
        <v>31.553000000000001</v>
      </c>
      <c r="C962" s="55">
        <v>20.672000000000001</v>
      </c>
      <c r="D962" s="55">
        <v>29.103000000000002</v>
      </c>
      <c r="E962" s="55" t="s">
        <v>527</v>
      </c>
      <c r="F962" s="55" t="s">
        <v>527</v>
      </c>
    </row>
    <row r="963" spans="1:6">
      <c r="A963" s="54">
        <v>40467</v>
      </c>
      <c r="B963" s="55">
        <v>29.109000000000002</v>
      </c>
      <c r="C963" s="55">
        <v>17.663</v>
      </c>
      <c r="D963" s="55">
        <v>27.187999999999999</v>
      </c>
      <c r="E963" s="55" t="s">
        <v>527</v>
      </c>
      <c r="F963" s="55" t="s">
        <v>527</v>
      </c>
    </row>
    <row r="964" spans="1:6">
      <c r="A964" s="54">
        <v>40468</v>
      </c>
      <c r="B964" s="55">
        <v>23.111999999999998</v>
      </c>
      <c r="C964" s="55">
        <v>14.189</v>
      </c>
      <c r="D964" s="55">
        <v>21.399000000000001</v>
      </c>
      <c r="E964" s="55" t="s">
        <v>527</v>
      </c>
      <c r="F964" s="55" t="s">
        <v>527</v>
      </c>
    </row>
    <row r="965" spans="1:6">
      <c r="A965" s="54">
        <v>40469</v>
      </c>
      <c r="B965" s="55">
        <v>17.948</v>
      </c>
      <c r="C965" s="55">
        <v>11.491</v>
      </c>
      <c r="D965" s="55">
        <v>16.125</v>
      </c>
      <c r="E965" s="55" t="s">
        <v>527</v>
      </c>
      <c r="F965" s="55" t="s">
        <v>527</v>
      </c>
    </row>
    <row r="966" spans="1:6">
      <c r="A966" s="54">
        <v>40470</v>
      </c>
      <c r="B966" s="55">
        <v>18.076000000000001</v>
      </c>
      <c r="C966" s="55">
        <v>11.631</v>
      </c>
      <c r="D966" s="55">
        <v>16.827999999999999</v>
      </c>
      <c r="E966" s="55" t="s">
        <v>527</v>
      </c>
      <c r="F966" s="55" t="s">
        <v>527</v>
      </c>
    </row>
    <row r="967" spans="1:6">
      <c r="A967" s="54">
        <v>40471</v>
      </c>
      <c r="B967" s="55">
        <v>19.077999999999999</v>
      </c>
      <c r="C967" s="55">
        <v>12.167999999999999</v>
      </c>
      <c r="D967" s="55">
        <v>17.347000000000001</v>
      </c>
      <c r="E967" s="55" t="s">
        <v>527</v>
      </c>
      <c r="F967" s="55" t="s">
        <v>527</v>
      </c>
    </row>
    <row r="968" spans="1:6">
      <c r="A968" s="54">
        <v>40472</v>
      </c>
      <c r="B968" s="55">
        <v>19.664000000000001</v>
      </c>
      <c r="C968" s="55">
        <v>12.78</v>
      </c>
      <c r="D968" s="55">
        <v>18.393000000000001</v>
      </c>
      <c r="E968" s="55" t="s">
        <v>527</v>
      </c>
      <c r="F968" s="55" t="s">
        <v>527</v>
      </c>
    </row>
    <row r="969" spans="1:6">
      <c r="A969" s="54">
        <v>40473</v>
      </c>
      <c r="B969" s="55">
        <v>29.510999999999999</v>
      </c>
      <c r="C969" s="55">
        <v>19.486000000000001</v>
      </c>
      <c r="D969" s="55">
        <v>27.887</v>
      </c>
      <c r="E969" s="55" t="s">
        <v>527</v>
      </c>
      <c r="F969" s="55" t="s">
        <v>527</v>
      </c>
    </row>
    <row r="970" spans="1:6">
      <c r="A970" s="54">
        <v>40474</v>
      </c>
      <c r="B970" s="55">
        <v>36.869</v>
      </c>
      <c r="C970" s="55">
        <v>23.491</v>
      </c>
      <c r="D970" s="55">
        <v>34.677</v>
      </c>
      <c r="E970" s="55" t="s">
        <v>527</v>
      </c>
      <c r="F970" s="55" t="s">
        <v>527</v>
      </c>
    </row>
    <row r="971" spans="1:6">
      <c r="A971" s="54">
        <v>40475</v>
      </c>
      <c r="B971" s="55">
        <v>31.169</v>
      </c>
      <c r="C971" s="55">
        <v>19.59</v>
      </c>
      <c r="D971" s="55">
        <v>29.337</v>
      </c>
      <c r="E971" s="55" t="s">
        <v>527</v>
      </c>
      <c r="F971" s="55" t="s">
        <v>527</v>
      </c>
    </row>
    <row r="972" spans="1:6">
      <c r="A972" s="54">
        <v>40476</v>
      </c>
      <c r="B972" s="55">
        <v>24.722000000000001</v>
      </c>
      <c r="C972" s="55">
        <v>16.161000000000001</v>
      </c>
      <c r="D972" s="55">
        <v>23.260999999999999</v>
      </c>
      <c r="E972" s="55" t="s">
        <v>527</v>
      </c>
      <c r="F972" s="55" t="s">
        <v>527</v>
      </c>
    </row>
    <row r="973" spans="1:6">
      <c r="A973" s="54">
        <v>40477</v>
      </c>
      <c r="B973" s="55">
        <v>24.824999999999999</v>
      </c>
      <c r="C973" s="55">
        <v>16.274000000000001</v>
      </c>
      <c r="D973" s="55">
        <v>23.465</v>
      </c>
      <c r="E973" s="55" t="s">
        <v>527</v>
      </c>
      <c r="F973" s="55" t="s">
        <v>527</v>
      </c>
    </row>
    <row r="974" spans="1:6">
      <c r="A974" s="54">
        <v>40478</v>
      </c>
      <c r="B974" s="55">
        <v>22.085999999999999</v>
      </c>
      <c r="C974" s="55">
        <v>14.295999999999999</v>
      </c>
      <c r="D974" s="55">
        <v>20.646999999999998</v>
      </c>
      <c r="E974" s="55" t="s">
        <v>527</v>
      </c>
      <c r="F974" s="55" t="s">
        <v>527</v>
      </c>
    </row>
    <row r="975" spans="1:6">
      <c r="A975" s="54">
        <v>40479</v>
      </c>
      <c r="B975" s="55">
        <v>23.559000000000001</v>
      </c>
      <c r="C975" s="55">
        <v>15.198</v>
      </c>
      <c r="D975" s="55">
        <v>21.995999999999999</v>
      </c>
      <c r="E975" s="55" t="s">
        <v>527</v>
      </c>
      <c r="F975" s="55" t="s">
        <v>527</v>
      </c>
    </row>
    <row r="976" spans="1:6">
      <c r="A976" s="54">
        <v>40480</v>
      </c>
      <c r="B976" s="55">
        <v>31.34</v>
      </c>
      <c r="C976" s="55">
        <v>20.366</v>
      </c>
      <c r="D976" s="55">
        <v>29.518999999999998</v>
      </c>
      <c r="E976" s="55" t="s">
        <v>527</v>
      </c>
      <c r="F976" s="55" t="s">
        <v>527</v>
      </c>
    </row>
    <row r="977" spans="1:6">
      <c r="A977" s="54">
        <v>40481</v>
      </c>
      <c r="B977" s="55">
        <v>35.728000000000002</v>
      </c>
      <c r="C977" s="55">
        <v>22.527999999999999</v>
      </c>
      <c r="D977" s="55">
        <v>33.408999999999999</v>
      </c>
      <c r="E977" s="55" t="s">
        <v>527</v>
      </c>
      <c r="F977" s="55" t="s">
        <v>527</v>
      </c>
    </row>
    <row r="978" spans="1:6">
      <c r="A978" s="54">
        <v>40482</v>
      </c>
      <c r="B978" s="55">
        <v>27.963000000000001</v>
      </c>
      <c r="C978" s="55">
        <v>17.488</v>
      </c>
      <c r="D978" s="55">
        <v>26.175999999999998</v>
      </c>
      <c r="E978" s="55" t="s">
        <v>527</v>
      </c>
      <c r="F978" s="55" t="s">
        <v>527</v>
      </c>
    </row>
    <row r="979" spans="1:6">
      <c r="A979" s="56"/>
    </row>
    <row r="980" spans="1:6">
      <c r="A980" s="57" t="s">
        <v>565</v>
      </c>
    </row>
    <row r="981" spans="1:6">
      <c r="A981" s="57" t="s">
        <v>529</v>
      </c>
    </row>
    <row r="982" spans="1:6" ht="18">
      <c r="A982" s="58">
        <v>751.53200000000004</v>
      </c>
    </row>
    <row r="983" spans="1:6">
      <c r="A983" s="57" t="s">
        <v>531</v>
      </c>
    </row>
    <row r="984" spans="1:6">
      <c r="A984" s="59">
        <v>386.14400000000001</v>
      </c>
    </row>
    <row r="985" spans="1:6">
      <c r="A985" s="57" t="s">
        <v>533</v>
      </c>
    </row>
    <row r="986" spans="1:6">
      <c r="A986" s="60">
        <v>34700</v>
      </c>
    </row>
    <row r="987" spans="1:6">
      <c r="A987" s="61"/>
    </row>
    <row r="988" spans="1:6" ht="30">
      <c r="A988" s="52" t="s">
        <v>521</v>
      </c>
      <c r="B988" s="52" t="s">
        <v>522</v>
      </c>
      <c r="C988" s="52" t="s">
        <v>523</v>
      </c>
      <c r="D988" s="53" t="s">
        <v>524</v>
      </c>
      <c r="E988" s="53" t="s">
        <v>525</v>
      </c>
      <c r="F988" s="53" t="s">
        <v>526</v>
      </c>
    </row>
    <row r="989" spans="1:6">
      <c r="A989" s="54">
        <v>40483</v>
      </c>
      <c r="B989" s="55">
        <v>23.646000000000001</v>
      </c>
      <c r="C989" s="55">
        <v>15.526999999999999</v>
      </c>
      <c r="D989" s="55">
        <v>22.149000000000001</v>
      </c>
      <c r="E989" s="55" t="s">
        <v>527</v>
      </c>
      <c r="F989" s="55" t="s">
        <v>527</v>
      </c>
    </row>
    <row r="990" spans="1:6">
      <c r="A990" s="54">
        <v>40484</v>
      </c>
      <c r="B990" s="55">
        <v>23.568000000000001</v>
      </c>
      <c r="C990" s="55">
        <v>15.254</v>
      </c>
      <c r="D990" s="55">
        <v>21.803000000000001</v>
      </c>
      <c r="E990" s="55" t="s">
        <v>527</v>
      </c>
      <c r="F990" s="55" t="s">
        <v>527</v>
      </c>
    </row>
    <row r="991" spans="1:6">
      <c r="A991" s="54">
        <v>40485</v>
      </c>
      <c r="B991" s="55">
        <v>22.562000000000001</v>
      </c>
      <c r="C991" s="55">
        <v>14.888999999999999</v>
      </c>
      <c r="D991" s="55">
        <v>21.13</v>
      </c>
      <c r="E991" s="55" t="s">
        <v>527</v>
      </c>
      <c r="F991" s="55" t="s">
        <v>527</v>
      </c>
    </row>
    <row r="992" spans="1:6">
      <c r="A992" s="54">
        <v>40486</v>
      </c>
      <c r="B992" s="55">
        <v>23.727</v>
      </c>
      <c r="C992" s="55">
        <v>15.6</v>
      </c>
      <c r="D992" s="55">
        <v>22.402000000000001</v>
      </c>
      <c r="E992" s="55" t="s">
        <v>527</v>
      </c>
      <c r="F992" s="55" t="s">
        <v>527</v>
      </c>
    </row>
    <row r="993" spans="1:6">
      <c r="A993" s="54">
        <v>40487</v>
      </c>
      <c r="B993" s="55">
        <v>31.774000000000001</v>
      </c>
      <c r="C993" s="55">
        <v>20.713999999999999</v>
      </c>
      <c r="D993" s="55">
        <v>30.108000000000001</v>
      </c>
      <c r="E993" s="55" t="s">
        <v>527</v>
      </c>
      <c r="F993" s="55" t="s">
        <v>527</v>
      </c>
    </row>
    <row r="994" spans="1:6">
      <c r="A994" s="54">
        <v>40488</v>
      </c>
      <c r="B994" s="55">
        <v>35.823999999999998</v>
      </c>
      <c r="C994" s="55">
        <v>22.37</v>
      </c>
      <c r="D994" s="55">
        <v>33.624000000000002</v>
      </c>
      <c r="E994" s="55" t="s">
        <v>527</v>
      </c>
      <c r="F994" s="55" t="s">
        <v>527</v>
      </c>
    </row>
    <row r="995" spans="1:6">
      <c r="A995" s="54">
        <v>40489</v>
      </c>
      <c r="B995" s="55">
        <v>27.619</v>
      </c>
      <c r="C995" s="55">
        <v>17.312999999999999</v>
      </c>
      <c r="D995" s="55">
        <v>25.762</v>
      </c>
      <c r="E995" s="55" t="s">
        <v>527</v>
      </c>
      <c r="F995" s="55" t="s">
        <v>527</v>
      </c>
    </row>
    <row r="996" spans="1:6">
      <c r="A996" s="54">
        <v>40490</v>
      </c>
      <c r="B996" s="55">
        <v>20.100999999999999</v>
      </c>
      <c r="C996" s="55">
        <v>13.43</v>
      </c>
      <c r="D996" s="55">
        <v>18.789000000000001</v>
      </c>
      <c r="E996" s="55" t="s">
        <v>527</v>
      </c>
      <c r="F996" s="55" t="s">
        <v>527</v>
      </c>
    </row>
    <row r="997" spans="1:6">
      <c r="A997" s="54">
        <v>40491</v>
      </c>
      <c r="B997" s="55">
        <v>19.795000000000002</v>
      </c>
      <c r="C997" s="55">
        <v>13.282</v>
      </c>
      <c r="D997" s="55">
        <v>18.564</v>
      </c>
      <c r="E997" s="55" t="s">
        <v>527</v>
      </c>
      <c r="F997" s="55" t="s">
        <v>527</v>
      </c>
    </row>
    <row r="998" spans="1:6">
      <c r="A998" s="54">
        <v>40492</v>
      </c>
      <c r="B998" s="55">
        <v>21.774000000000001</v>
      </c>
      <c r="C998" s="55">
        <v>14.574999999999999</v>
      </c>
      <c r="D998" s="55">
        <v>20.504000000000001</v>
      </c>
      <c r="E998" s="55" t="s">
        <v>527</v>
      </c>
      <c r="F998" s="55" t="s">
        <v>527</v>
      </c>
    </row>
    <row r="999" spans="1:6">
      <c r="A999" s="54">
        <v>40493</v>
      </c>
      <c r="B999" s="55">
        <v>24.524000000000001</v>
      </c>
      <c r="C999" s="55">
        <v>16.111999999999998</v>
      </c>
      <c r="D999" s="55">
        <v>23.018999999999998</v>
      </c>
      <c r="E999" s="55" t="s">
        <v>527</v>
      </c>
      <c r="F999" s="55" t="s">
        <v>527</v>
      </c>
    </row>
    <row r="1000" spans="1:6">
      <c r="A1000" s="54">
        <v>40494</v>
      </c>
      <c r="B1000" s="55">
        <v>33.869</v>
      </c>
      <c r="C1000" s="55">
        <v>22.36</v>
      </c>
      <c r="D1000" s="55">
        <v>32.179000000000002</v>
      </c>
      <c r="E1000" s="55" t="s">
        <v>527</v>
      </c>
      <c r="F1000" s="55" t="s">
        <v>527</v>
      </c>
    </row>
    <row r="1001" spans="1:6">
      <c r="A1001" s="54">
        <v>40495</v>
      </c>
      <c r="B1001" s="55">
        <v>38.795000000000002</v>
      </c>
      <c r="C1001" s="55">
        <v>24.454999999999998</v>
      </c>
      <c r="D1001" s="55">
        <v>36.670999999999999</v>
      </c>
      <c r="E1001" s="55" t="s">
        <v>527</v>
      </c>
      <c r="F1001" s="55" t="s">
        <v>527</v>
      </c>
    </row>
    <row r="1002" spans="1:6">
      <c r="A1002" s="54">
        <v>40496</v>
      </c>
      <c r="B1002" s="55">
        <v>29.838000000000001</v>
      </c>
      <c r="C1002" s="55">
        <v>18.553000000000001</v>
      </c>
      <c r="D1002" s="55">
        <v>28.105</v>
      </c>
      <c r="E1002" s="55" t="s">
        <v>527</v>
      </c>
      <c r="F1002" s="55" t="s">
        <v>527</v>
      </c>
    </row>
    <row r="1003" spans="1:6">
      <c r="A1003" s="54">
        <v>40497</v>
      </c>
      <c r="B1003" s="55">
        <v>23.497</v>
      </c>
      <c r="C1003" s="55">
        <v>15.662000000000001</v>
      </c>
      <c r="D1003" s="55">
        <v>22.367999999999999</v>
      </c>
      <c r="E1003" s="55" t="s">
        <v>527</v>
      </c>
      <c r="F1003" s="55" t="s">
        <v>527</v>
      </c>
    </row>
    <row r="1004" spans="1:6">
      <c r="A1004" s="54">
        <v>40498</v>
      </c>
      <c r="B1004" s="55">
        <v>23.024000000000001</v>
      </c>
      <c r="C1004" s="55">
        <v>15.321</v>
      </c>
      <c r="D1004" s="55">
        <v>21.846</v>
      </c>
      <c r="E1004" s="55" t="s">
        <v>527</v>
      </c>
      <c r="F1004" s="55" t="s">
        <v>527</v>
      </c>
    </row>
    <row r="1005" spans="1:6">
      <c r="A1005" s="54">
        <v>40499</v>
      </c>
      <c r="B1005" s="55">
        <v>23.815999999999999</v>
      </c>
      <c r="C1005" s="55">
        <v>15.672000000000001</v>
      </c>
      <c r="D1005" s="55">
        <v>22.596</v>
      </c>
      <c r="E1005" s="55" t="s">
        <v>527</v>
      </c>
      <c r="F1005" s="55" t="s">
        <v>527</v>
      </c>
    </row>
    <row r="1006" spans="1:6">
      <c r="A1006" s="54">
        <v>40500</v>
      </c>
      <c r="B1006" s="55">
        <v>23.196000000000002</v>
      </c>
      <c r="C1006" s="55">
        <v>15.476000000000001</v>
      </c>
      <c r="D1006" s="55">
        <v>21.952999999999999</v>
      </c>
      <c r="E1006" s="55" t="s">
        <v>527</v>
      </c>
      <c r="F1006" s="55" t="s">
        <v>527</v>
      </c>
    </row>
    <row r="1007" spans="1:6">
      <c r="A1007" s="54">
        <v>40501</v>
      </c>
      <c r="B1007" s="55">
        <v>30.765999999999998</v>
      </c>
      <c r="C1007" s="55">
        <v>20.289000000000001</v>
      </c>
      <c r="D1007" s="55">
        <v>29.16</v>
      </c>
      <c r="E1007" s="55" t="s">
        <v>527</v>
      </c>
      <c r="F1007" s="55" t="s">
        <v>527</v>
      </c>
    </row>
    <row r="1008" spans="1:6">
      <c r="A1008" s="54">
        <v>40502</v>
      </c>
      <c r="B1008" s="55">
        <v>33.113999999999997</v>
      </c>
      <c r="C1008" s="55">
        <v>20.824000000000002</v>
      </c>
      <c r="D1008" s="55">
        <v>31.218</v>
      </c>
      <c r="E1008" s="55" t="s">
        <v>527</v>
      </c>
      <c r="F1008" s="55" t="s">
        <v>527</v>
      </c>
    </row>
    <row r="1009" spans="1:6">
      <c r="A1009" s="54">
        <v>40503</v>
      </c>
      <c r="B1009" s="55">
        <v>28.681000000000001</v>
      </c>
      <c r="C1009" s="55">
        <v>18.065999999999999</v>
      </c>
      <c r="D1009" s="55">
        <v>27.018000000000001</v>
      </c>
      <c r="E1009" s="55" t="s">
        <v>527</v>
      </c>
      <c r="F1009" s="55" t="s">
        <v>527</v>
      </c>
    </row>
    <row r="1010" spans="1:6">
      <c r="A1010" s="54">
        <v>40504</v>
      </c>
      <c r="B1010" s="55">
        <v>24.16</v>
      </c>
      <c r="C1010" s="55">
        <v>16.492000000000001</v>
      </c>
      <c r="D1010" s="55">
        <v>22.826000000000001</v>
      </c>
      <c r="E1010" s="55" t="s">
        <v>527</v>
      </c>
      <c r="F1010" s="55" t="s">
        <v>527</v>
      </c>
    </row>
    <row r="1011" spans="1:6">
      <c r="A1011" s="54">
        <v>40505</v>
      </c>
      <c r="B1011" s="55">
        <v>24.594000000000001</v>
      </c>
      <c r="C1011" s="55">
        <v>16.684000000000001</v>
      </c>
      <c r="D1011" s="55">
        <v>23.033000000000001</v>
      </c>
      <c r="E1011" s="55" t="s">
        <v>527</v>
      </c>
      <c r="F1011" s="55" t="s">
        <v>527</v>
      </c>
    </row>
    <row r="1012" spans="1:6">
      <c r="A1012" s="54">
        <v>40506</v>
      </c>
      <c r="B1012" s="55">
        <v>26.097999999999999</v>
      </c>
      <c r="C1012" s="55">
        <v>17.303000000000001</v>
      </c>
      <c r="D1012" s="55">
        <v>24.391999999999999</v>
      </c>
      <c r="E1012" s="55" t="s">
        <v>527</v>
      </c>
      <c r="F1012" s="55" t="s">
        <v>527</v>
      </c>
    </row>
    <row r="1013" spans="1:6">
      <c r="A1013" s="54">
        <v>40507</v>
      </c>
      <c r="B1013" s="55">
        <v>25.552</v>
      </c>
      <c r="C1013" s="55">
        <v>16.635999999999999</v>
      </c>
      <c r="D1013" s="55">
        <v>23.792999999999999</v>
      </c>
      <c r="E1013" s="55" t="s">
        <v>527</v>
      </c>
      <c r="F1013" s="55" t="s">
        <v>527</v>
      </c>
    </row>
    <row r="1014" spans="1:6">
      <c r="A1014" s="54">
        <v>40508</v>
      </c>
      <c r="B1014" s="55">
        <v>32.36</v>
      </c>
      <c r="C1014" s="55">
        <v>21.009</v>
      </c>
      <c r="D1014" s="55">
        <v>29.946999999999999</v>
      </c>
      <c r="E1014" s="55" t="s">
        <v>527</v>
      </c>
      <c r="F1014" s="55" t="s">
        <v>527</v>
      </c>
    </row>
    <row r="1015" spans="1:6">
      <c r="A1015" s="54">
        <v>40509</v>
      </c>
      <c r="B1015" s="55">
        <v>34.270000000000003</v>
      </c>
      <c r="C1015" s="55">
        <v>21.716000000000001</v>
      </c>
      <c r="D1015" s="55">
        <v>32.326000000000001</v>
      </c>
      <c r="E1015" s="55" t="s">
        <v>527</v>
      </c>
      <c r="F1015" s="55" t="s">
        <v>527</v>
      </c>
    </row>
    <row r="1016" spans="1:6">
      <c r="A1016" s="54">
        <v>40510</v>
      </c>
      <c r="B1016" s="55">
        <v>27.609000000000002</v>
      </c>
      <c r="C1016" s="55">
        <v>17.164000000000001</v>
      </c>
      <c r="D1016" s="55">
        <v>25.98</v>
      </c>
      <c r="E1016" s="55" t="s">
        <v>527</v>
      </c>
      <c r="F1016" s="55" t="s">
        <v>527</v>
      </c>
    </row>
    <row r="1017" spans="1:6">
      <c r="A1017" s="54">
        <v>40511</v>
      </c>
      <c r="B1017" s="55">
        <v>20.03</v>
      </c>
      <c r="C1017" s="55">
        <v>13.215999999999999</v>
      </c>
      <c r="D1017" s="55">
        <v>18.728000000000002</v>
      </c>
      <c r="E1017" s="55" t="s">
        <v>527</v>
      </c>
      <c r="F1017" s="55" t="s">
        <v>527</v>
      </c>
    </row>
    <row r="1018" spans="1:6">
      <c r="A1018" s="54">
        <v>40512</v>
      </c>
      <c r="B1018" s="55">
        <v>20.9</v>
      </c>
      <c r="C1018" s="55">
        <v>13.776999999999999</v>
      </c>
      <c r="D1018" s="55">
        <v>19.539000000000001</v>
      </c>
      <c r="E1018" s="55" t="s">
        <v>527</v>
      </c>
      <c r="F1018" s="55" t="s">
        <v>527</v>
      </c>
    </row>
    <row r="1019" spans="1:6">
      <c r="A1019" s="56"/>
    </row>
    <row r="1020" spans="1:6">
      <c r="A1020" s="57" t="s">
        <v>566</v>
      </c>
    </row>
    <row r="1021" spans="1:6">
      <c r="A1021" s="57" t="s">
        <v>529</v>
      </c>
    </row>
    <row r="1022" spans="1:6" ht="18">
      <c r="A1022" s="58">
        <v>770.06500000000005</v>
      </c>
    </row>
    <row r="1023" spans="1:6">
      <c r="A1023" s="57" t="s">
        <v>531</v>
      </c>
    </row>
    <row r="1024" spans="1:6">
      <c r="A1024" s="59">
        <v>396.012</v>
      </c>
    </row>
    <row r="1025" spans="1:6">
      <c r="A1025" s="57" t="s">
        <v>533</v>
      </c>
    </row>
    <row r="1026" spans="1:6">
      <c r="A1026" s="60">
        <v>34335</v>
      </c>
    </row>
    <row r="1027" spans="1:6">
      <c r="A1027" s="61"/>
    </row>
    <row r="1028" spans="1:6" ht="30">
      <c r="A1028" s="52" t="s">
        <v>521</v>
      </c>
      <c r="B1028" s="52" t="s">
        <v>522</v>
      </c>
      <c r="C1028" s="52" t="s">
        <v>523</v>
      </c>
      <c r="D1028" s="53" t="s">
        <v>524</v>
      </c>
      <c r="E1028" s="53" t="s">
        <v>525</v>
      </c>
      <c r="F1028" s="53" t="s">
        <v>526</v>
      </c>
    </row>
    <row r="1029" spans="1:6">
      <c r="A1029" s="54">
        <v>40513</v>
      </c>
      <c r="B1029" s="55">
        <v>22.256</v>
      </c>
      <c r="C1029" s="55">
        <v>14.699</v>
      </c>
      <c r="D1029" s="55">
        <v>20.9</v>
      </c>
      <c r="E1029" s="55" t="s">
        <v>527</v>
      </c>
      <c r="F1029" s="55" t="s">
        <v>527</v>
      </c>
    </row>
    <row r="1030" spans="1:6">
      <c r="A1030" s="54">
        <v>40514</v>
      </c>
      <c r="B1030" s="55">
        <v>22.04</v>
      </c>
      <c r="C1030" s="55">
        <v>14.541</v>
      </c>
      <c r="D1030" s="55">
        <v>20.699000000000002</v>
      </c>
      <c r="E1030" s="55" t="s">
        <v>527</v>
      </c>
      <c r="F1030" s="55" t="s">
        <v>527</v>
      </c>
    </row>
    <row r="1031" spans="1:6">
      <c r="A1031" s="54">
        <v>40515</v>
      </c>
      <c r="B1031" s="55">
        <v>29.693000000000001</v>
      </c>
      <c r="C1031" s="55">
        <v>19.741</v>
      </c>
      <c r="D1031" s="55">
        <v>28.106999999999999</v>
      </c>
      <c r="E1031" s="55" t="s">
        <v>527</v>
      </c>
      <c r="F1031" s="55" t="s">
        <v>527</v>
      </c>
    </row>
    <row r="1032" spans="1:6">
      <c r="A1032" s="54">
        <v>40516</v>
      </c>
      <c r="B1032" s="55">
        <v>35.186999999999998</v>
      </c>
      <c r="C1032" s="55">
        <v>22.332000000000001</v>
      </c>
      <c r="D1032" s="55">
        <v>33.198</v>
      </c>
      <c r="E1032" s="55" t="s">
        <v>527</v>
      </c>
      <c r="F1032" s="55" t="s">
        <v>527</v>
      </c>
    </row>
    <row r="1033" spans="1:6">
      <c r="A1033" s="54">
        <v>40517</v>
      </c>
      <c r="B1033" s="55">
        <v>28.437000000000001</v>
      </c>
      <c r="C1033" s="55">
        <v>17.931999999999999</v>
      </c>
      <c r="D1033" s="55">
        <v>26.718</v>
      </c>
      <c r="E1033" s="55" t="s">
        <v>527</v>
      </c>
      <c r="F1033" s="55" t="s">
        <v>527</v>
      </c>
    </row>
    <row r="1034" spans="1:6">
      <c r="A1034" s="54">
        <v>40518</v>
      </c>
      <c r="B1034" s="55">
        <v>21.312999999999999</v>
      </c>
      <c r="C1034" s="55">
        <v>14.241</v>
      </c>
      <c r="D1034" s="55">
        <v>20.073</v>
      </c>
      <c r="E1034" s="55" t="s">
        <v>527</v>
      </c>
      <c r="F1034" s="55" t="s">
        <v>527</v>
      </c>
    </row>
    <row r="1035" spans="1:6">
      <c r="A1035" s="54">
        <v>40519</v>
      </c>
      <c r="B1035" s="55">
        <v>22.22</v>
      </c>
      <c r="C1035" s="55">
        <v>14.683999999999999</v>
      </c>
      <c r="D1035" s="55">
        <v>21.007000000000001</v>
      </c>
      <c r="E1035" s="55" t="s">
        <v>527</v>
      </c>
      <c r="F1035" s="55" t="s">
        <v>527</v>
      </c>
    </row>
    <row r="1036" spans="1:6">
      <c r="A1036" s="54">
        <v>40520</v>
      </c>
      <c r="B1036" s="55">
        <v>21.390999999999998</v>
      </c>
      <c r="C1036" s="55">
        <v>14.239000000000001</v>
      </c>
      <c r="D1036" s="55">
        <v>20.274999999999999</v>
      </c>
      <c r="E1036" s="55" t="s">
        <v>527</v>
      </c>
      <c r="F1036" s="55" t="s">
        <v>527</v>
      </c>
    </row>
    <row r="1037" spans="1:6">
      <c r="A1037" s="54">
        <v>40521</v>
      </c>
      <c r="B1037" s="55">
        <v>21.757999999999999</v>
      </c>
      <c r="C1037" s="55">
        <v>14.339</v>
      </c>
      <c r="D1037" s="55">
        <v>20.417000000000002</v>
      </c>
      <c r="E1037" s="55" t="s">
        <v>527</v>
      </c>
      <c r="F1037" s="55" t="s">
        <v>527</v>
      </c>
    </row>
    <row r="1038" spans="1:6">
      <c r="A1038" s="54">
        <v>40522</v>
      </c>
      <c r="B1038" s="55">
        <v>26.009</v>
      </c>
      <c r="C1038" s="55">
        <v>17.177</v>
      </c>
      <c r="D1038" s="55">
        <v>24.498000000000001</v>
      </c>
      <c r="E1038" s="55" t="s">
        <v>527</v>
      </c>
      <c r="F1038" s="55" t="s">
        <v>527</v>
      </c>
    </row>
    <row r="1039" spans="1:6">
      <c r="A1039" s="54">
        <v>40523</v>
      </c>
      <c r="B1039" s="55">
        <v>35.012999999999998</v>
      </c>
      <c r="C1039" s="55">
        <v>22.221</v>
      </c>
      <c r="D1039" s="55">
        <v>33.070999999999998</v>
      </c>
      <c r="E1039" s="55" t="s">
        <v>527</v>
      </c>
      <c r="F1039" s="55" t="s">
        <v>527</v>
      </c>
    </row>
    <row r="1040" spans="1:6">
      <c r="A1040" s="54">
        <v>40524</v>
      </c>
      <c r="B1040" s="55">
        <v>28.902999999999999</v>
      </c>
      <c r="C1040" s="55">
        <v>18.52</v>
      </c>
      <c r="D1040" s="55">
        <v>27.25</v>
      </c>
      <c r="E1040" s="55" t="s">
        <v>527</v>
      </c>
      <c r="F1040" s="55" t="s">
        <v>527</v>
      </c>
    </row>
    <row r="1041" spans="1:6">
      <c r="A1041" s="54">
        <v>40525</v>
      </c>
      <c r="B1041" s="55">
        <v>21.706</v>
      </c>
      <c r="C1041" s="55">
        <v>14.614000000000001</v>
      </c>
      <c r="D1041" s="55">
        <v>20.498999999999999</v>
      </c>
      <c r="E1041" s="55" t="s">
        <v>527</v>
      </c>
      <c r="F1041" s="55" t="s">
        <v>527</v>
      </c>
    </row>
    <row r="1042" spans="1:6">
      <c r="A1042" s="54">
        <v>40526</v>
      </c>
      <c r="B1042" s="55">
        <v>22.033000000000001</v>
      </c>
      <c r="C1042" s="55">
        <v>14.851000000000001</v>
      </c>
      <c r="D1042" s="55">
        <v>20.777999999999999</v>
      </c>
      <c r="E1042" s="55" t="s">
        <v>527</v>
      </c>
      <c r="F1042" s="55" t="s">
        <v>527</v>
      </c>
    </row>
    <row r="1043" spans="1:6">
      <c r="A1043" s="54">
        <v>40527</v>
      </c>
      <c r="B1043" s="55">
        <v>23.145</v>
      </c>
      <c r="C1043" s="55">
        <v>15.459</v>
      </c>
      <c r="D1043" s="55">
        <v>21.919</v>
      </c>
      <c r="E1043" s="55" t="s">
        <v>527</v>
      </c>
      <c r="F1043" s="55" t="s">
        <v>527</v>
      </c>
    </row>
    <row r="1044" spans="1:6">
      <c r="A1044" s="54">
        <v>40528</v>
      </c>
      <c r="B1044" s="55">
        <v>24.407</v>
      </c>
      <c r="C1044" s="55">
        <v>15.875999999999999</v>
      </c>
      <c r="D1044" s="55">
        <v>22.995000000000001</v>
      </c>
      <c r="E1044" s="55" t="s">
        <v>527</v>
      </c>
      <c r="F1044" s="55" t="s">
        <v>527</v>
      </c>
    </row>
    <row r="1045" spans="1:6">
      <c r="A1045" s="54">
        <v>40529</v>
      </c>
      <c r="B1045" s="55">
        <v>29.492000000000001</v>
      </c>
      <c r="C1045" s="55">
        <v>19.494</v>
      </c>
      <c r="D1045" s="55">
        <v>27.914000000000001</v>
      </c>
      <c r="E1045" s="55" t="s">
        <v>527</v>
      </c>
      <c r="F1045" s="55" t="s">
        <v>527</v>
      </c>
    </row>
    <row r="1046" spans="1:6">
      <c r="A1046" s="54">
        <v>40530</v>
      </c>
      <c r="B1046" s="55">
        <v>33.991</v>
      </c>
      <c r="C1046" s="55">
        <v>21.434999999999999</v>
      </c>
      <c r="D1046" s="55">
        <v>32.097999999999999</v>
      </c>
      <c r="E1046" s="55" t="s">
        <v>527</v>
      </c>
      <c r="F1046" s="55" t="s">
        <v>527</v>
      </c>
    </row>
    <row r="1047" spans="1:6">
      <c r="A1047" s="54">
        <v>40531</v>
      </c>
      <c r="B1047" s="55">
        <v>28.231000000000002</v>
      </c>
      <c r="C1047" s="55">
        <v>17.777000000000001</v>
      </c>
      <c r="D1047" s="55">
        <v>26.635999999999999</v>
      </c>
      <c r="E1047" s="55" t="s">
        <v>527</v>
      </c>
      <c r="F1047" s="55" t="s">
        <v>527</v>
      </c>
    </row>
    <row r="1048" spans="1:6">
      <c r="A1048" s="54">
        <v>40532</v>
      </c>
      <c r="B1048" s="55">
        <v>26.387</v>
      </c>
      <c r="C1048" s="55">
        <v>17.164999999999999</v>
      </c>
      <c r="D1048" s="55">
        <v>24.771999999999998</v>
      </c>
      <c r="E1048" s="55" t="s">
        <v>527</v>
      </c>
      <c r="F1048" s="55" t="s">
        <v>527</v>
      </c>
    </row>
    <row r="1049" spans="1:6">
      <c r="A1049" s="54">
        <v>40533</v>
      </c>
      <c r="B1049" s="55">
        <v>26.434000000000001</v>
      </c>
      <c r="C1049" s="55">
        <v>16.95</v>
      </c>
      <c r="D1049" s="55">
        <v>25</v>
      </c>
      <c r="E1049" s="55" t="s">
        <v>527</v>
      </c>
      <c r="F1049" s="55" t="s">
        <v>527</v>
      </c>
    </row>
    <row r="1050" spans="1:6">
      <c r="A1050" s="54">
        <v>40534</v>
      </c>
      <c r="B1050" s="55">
        <v>27.105</v>
      </c>
      <c r="C1050" s="55">
        <v>17.292999999999999</v>
      </c>
      <c r="D1050" s="55">
        <v>25.6</v>
      </c>
      <c r="E1050" s="55" t="s">
        <v>527</v>
      </c>
      <c r="F1050" s="55" t="s">
        <v>527</v>
      </c>
    </row>
    <row r="1051" spans="1:6">
      <c r="A1051" s="54">
        <v>40535</v>
      </c>
      <c r="B1051" s="55">
        <v>28.827999999999999</v>
      </c>
      <c r="C1051" s="55">
        <v>18.497</v>
      </c>
      <c r="D1051" s="55">
        <v>27.207000000000001</v>
      </c>
      <c r="E1051" s="55" t="s">
        <v>527</v>
      </c>
      <c r="F1051" s="55" t="s">
        <v>527</v>
      </c>
    </row>
    <row r="1052" spans="1:6">
      <c r="A1052" s="54">
        <v>40536</v>
      </c>
      <c r="B1052" s="55">
        <v>29.847999999999999</v>
      </c>
      <c r="C1052" s="55">
        <v>19.765000000000001</v>
      </c>
      <c r="D1052" s="55">
        <v>28.417999999999999</v>
      </c>
      <c r="E1052" s="55" t="s">
        <v>527</v>
      </c>
      <c r="F1052" s="55" t="s">
        <v>527</v>
      </c>
    </row>
    <row r="1053" spans="1:6">
      <c r="A1053" s="54">
        <v>40537</v>
      </c>
      <c r="B1053" s="55">
        <v>25.800999999999998</v>
      </c>
      <c r="C1053" s="55">
        <v>17.088999999999999</v>
      </c>
      <c r="D1053" s="55">
        <v>24.670999999999999</v>
      </c>
      <c r="E1053" s="55" t="s">
        <v>527</v>
      </c>
      <c r="F1053" s="55" t="s">
        <v>527</v>
      </c>
    </row>
    <row r="1054" spans="1:6">
      <c r="A1054" s="54">
        <v>40538</v>
      </c>
      <c r="B1054" s="55">
        <v>25.122</v>
      </c>
      <c r="C1054" s="55">
        <v>16.521999999999998</v>
      </c>
      <c r="D1054" s="55">
        <v>23.902999999999999</v>
      </c>
      <c r="E1054" s="55" t="s">
        <v>527</v>
      </c>
      <c r="F1054" s="55" t="s">
        <v>527</v>
      </c>
    </row>
    <row r="1055" spans="1:6">
      <c r="A1055" s="54">
        <v>40539</v>
      </c>
      <c r="B1055" s="55">
        <v>24.31</v>
      </c>
      <c r="C1055" s="55">
        <v>15.743</v>
      </c>
      <c r="D1055" s="55">
        <v>23.097999999999999</v>
      </c>
      <c r="E1055" s="55" t="s">
        <v>527</v>
      </c>
      <c r="F1055" s="55" t="s">
        <v>527</v>
      </c>
    </row>
    <row r="1056" spans="1:6">
      <c r="A1056" s="54">
        <v>40540</v>
      </c>
      <c r="B1056" s="55">
        <v>25.094000000000001</v>
      </c>
      <c r="C1056" s="55">
        <v>16.318000000000001</v>
      </c>
      <c r="D1056" s="55">
        <v>23.87</v>
      </c>
      <c r="E1056" s="55" t="s">
        <v>527</v>
      </c>
      <c r="F1056" s="55" t="s">
        <v>527</v>
      </c>
    </row>
    <row r="1057" spans="1:6">
      <c r="A1057" s="54">
        <v>40541</v>
      </c>
      <c r="B1057" s="55">
        <v>25.882999999999999</v>
      </c>
      <c r="C1057" s="55">
        <v>16.675999999999998</v>
      </c>
      <c r="D1057" s="55">
        <v>24.65</v>
      </c>
      <c r="E1057" s="55" t="s">
        <v>527</v>
      </c>
      <c r="F1057" s="55" t="s">
        <v>527</v>
      </c>
    </row>
    <row r="1058" spans="1:6">
      <c r="A1058" s="54">
        <v>40542</v>
      </c>
      <c r="B1058" s="55">
        <v>26</v>
      </c>
      <c r="C1058" s="55">
        <v>16.640999999999998</v>
      </c>
      <c r="D1058" s="55">
        <v>24.64</v>
      </c>
      <c r="E1058" s="55" t="s">
        <v>527</v>
      </c>
      <c r="F1058" s="55" t="s">
        <v>527</v>
      </c>
    </row>
    <row r="1059" spans="1:6">
      <c r="A1059" s="54">
        <v>40543</v>
      </c>
      <c r="B1059" s="55">
        <v>26.413</v>
      </c>
      <c r="C1059" s="55">
        <v>17.047999999999998</v>
      </c>
      <c r="D1059" s="55">
        <v>25.184000000000001</v>
      </c>
      <c r="E1059" s="55" t="s">
        <v>527</v>
      </c>
      <c r="F1059" s="55" t="s">
        <v>527</v>
      </c>
    </row>
    <row r="1060" spans="1:6">
      <c r="A1060" s="56"/>
    </row>
    <row r="1061" spans="1:6">
      <c r="A1061" s="57" t="s">
        <v>567</v>
      </c>
    </row>
    <row r="1062" spans="1:6">
      <c r="A1062" s="57" t="s">
        <v>529</v>
      </c>
    </row>
    <row r="1063" spans="1:6" ht="18">
      <c r="A1063" s="58">
        <v>680.93299999999999</v>
      </c>
    </row>
    <row r="1064" spans="1:6">
      <c r="A1064" s="57" t="s">
        <v>531</v>
      </c>
    </row>
    <row r="1065" spans="1:6">
      <c r="A1065" s="59">
        <v>354.267</v>
      </c>
    </row>
    <row r="1066" spans="1:6">
      <c r="A1066" s="57" t="s">
        <v>533</v>
      </c>
    </row>
    <row r="1067" spans="1:6">
      <c r="A1067" s="60">
        <v>33604</v>
      </c>
    </row>
    <row r="1068" spans="1:6">
      <c r="A1068" s="61"/>
    </row>
    <row r="1069" spans="1:6" ht="30">
      <c r="A1069" s="52" t="s">
        <v>521</v>
      </c>
      <c r="B1069" s="52" t="s">
        <v>522</v>
      </c>
      <c r="C1069" s="52" t="s">
        <v>523</v>
      </c>
      <c r="D1069" s="53" t="s">
        <v>524</v>
      </c>
      <c r="E1069" s="53" t="s">
        <v>525</v>
      </c>
      <c r="F1069" s="53" t="s">
        <v>526</v>
      </c>
    </row>
    <row r="1070" spans="1:6">
      <c r="A1070" s="54">
        <v>40544</v>
      </c>
      <c r="B1070" s="55">
        <v>25.741</v>
      </c>
      <c r="C1070" s="55">
        <v>16.673999999999999</v>
      </c>
      <c r="D1070" s="55">
        <v>24.402999999999999</v>
      </c>
      <c r="E1070" s="55" t="s">
        <v>527</v>
      </c>
      <c r="F1070" s="55" t="s">
        <v>527</v>
      </c>
    </row>
    <row r="1071" spans="1:6">
      <c r="A1071" s="54">
        <v>40545</v>
      </c>
      <c r="B1071" s="55">
        <v>24.103999999999999</v>
      </c>
      <c r="C1071" s="55">
        <v>15.339</v>
      </c>
      <c r="D1071" s="55">
        <v>22.882000000000001</v>
      </c>
      <c r="E1071" s="55" t="s">
        <v>527</v>
      </c>
      <c r="F1071" s="55" t="s">
        <v>527</v>
      </c>
    </row>
    <row r="1072" spans="1:6">
      <c r="A1072" s="54">
        <v>40546</v>
      </c>
      <c r="B1072" s="55">
        <v>19.759</v>
      </c>
      <c r="C1072" s="55">
        <v>12.933999999999999</v>
      </c>
      <c r="D1072" s="55">
        <v>18.768999999999998</v>
      </c>
      <c r="E1072" s="55" t="s">
        <v>527</v>
      </c>
      <c r="F1072" s="55" t="s">
        <v>527</v>
      </c>
    </row>
    <row r="1073" spans="1:6">
      <c r="A1073" s="54">
        <v>40547</v>
      </c>
      <c r="B1073" s="55">
        <v>18.579999999999998</v>
      </c>
      <c r="C1073" s="55">
        <v>12.37</v>
      </c>
      <c r="D1073" s="55">
        <v>17.704000000000001</v>
      </c>
      <c r="E1073" s="55" t="s">
        <v>527</v>
      </c>
      <c r="F1073" s="55" t="s">
        <v>527</v>
      </c>
    </row>
    <row r="1074" spans="1:6">
      <c r="A1074" s="54">
        <v>40548</v>
      </c>
      <c r="B1074" s="55">
        <v>18.545000000000002</v>
      </c>
      <c r="C1074" s="55">
        <v>12.188000000000001</v>
      </c>
      <c r="D1074" s="55">
        <v>17.683</v>
      </c>
      <c r="E1074" s="55" t="s">
        <v>527</v>
      </c>
      <c r="F1074" s="55" t="s">
        <v>527</v>
      </c>
    </row>
    <row r="1075" spans="1:6">
      <c r="A1075" s="54">
        <v>40549</v>
      </c>
      <c r="B1075" s="55">
        <v>18.940999999999999</v>
      </c>
      <c r="C1075" s="55">
        <v>12.571999999999999</v>
      </c>
      <c r="D1075" s="55">
        <v>18.102</v>
      </c>
      <c r="E1075" s="55" t="s">
        <v>527</v>
      </c>
      <c r="F1075" s="55" t="s">
        <v>527</v>
      </c>
    </row>
    <row r="1076" spans="1:6">
      <c r="A1076" s="54">
        <v>40550</v>
      </c>
      <c r="B1076" s="55">
        <v>23.321000000000002</v>
      </c>
      <c r="C1076" s="55">
        <v>15.441000000000001</v>
      </c>
      <c r="D1076" s="55">
        <v>22.280999999999999</v>
      </c>
      <c r="E1076" s="55" t="s">
        <v>527</v>
      </c>
      <c r="F1076" s="55" t="s">
        <v>527</v>
      </c>
    </row>
    <row r="1077" spans="1:6">
      <c r="A1077" s="54">
        <v>40551</v>
      </c>
      <c r="B1077" s="55">
        <v>27.617000000000001</v>
      </c>
      <c r="C1077" s="55">
        <v>17.683</v>
      </c>
      <c r="D1077" s="55">
        <v>26.32</v>
      </c>
      <c r="E1077" s="55" t="s">
        <v>527</v>
      </c>
      <c r="F1077" s="55" t="s">
        <v>527</v>
      </c>
    </row>
    <row r="1078" spans="1:6">
      <c r="A1078" s="54">
        <v>40552</v>
      </c>
      <c r="B1078" s="55">
        <v>21.524000000000001</v>
      </c>
      <c r="C1078" s="55">
        <v>13.891</v>
      </c>
      <c r="D1078" s="55">
        <v>20.452000000000002</v>
      </c>
      <c r="E1078" s="55" t="s">
        <v>527</v>
      </c>
      <c r="F1078" s="55" t="s">
        <v>527</v>
      </c>
    </row>
    <row r="1079" spans="1:6">
      <c r="A1079" s="54">
        <v>40553</v>
      </c>
      <c r="B1079" s="55">
        <v>16.971</v>
      </c>
      <c r="C1079" s="55">
        <v>11.372999999999999</v>
      </c>
      <c r="D1079" s="55">
        <v>16.154</v>
      </c>
      <c r="E1079" s="55" t="s">
        <v>527</v>
      </c>
      <c r="F1079" s="55" t="s">
        <v>527</v>
      </c>
    </row>
    <row r="1080" spans="1:6">
      <c r="A1080" s="54">
        <v>40554</v>
      </c>
      <c r="B1080" s="55">
        <v>18.231000000000002</v>
      </c>
      <c r="C1080" s="55">
        <v>12.329000000000001</v>
      </c>
      <c r="D1080" s="55">
        <v>17.393999999999998</v>
      </c>
      <c r="E1080" s="55" t="s">
        <v>527</v>
      </c>
      <c r="F1080" s="55" t="s">
        <v>527</v>
      </c>
    </row>
    <row r="1081" spans="1:6">
      <c r="A1081" s="54">
        <v>40555</v>
      </c>
      <c r="B1081" s="55">
        <v>19.126999999999999</v>
      </c>
      <c r="C1081" s="55">
        <v>12.773</v>
      </c>
      <c r="D1081" s="55">
        <v>18.137</v>
      </c>
      <c r="E1081" s="55" t="s">
        <v>527</v>
      </c>
      <c r="F1081" s="55" t="s">
        <v>527</v>
      </c>
    </row>
    <row r="1082" spans="1:6">
      <c r="A1082" s="54">
        <v>40556</v>
      </c>
      <c r="B1082" s="55">
        <v>19.373999999999999</v>
      </c>
      <c r="C1082" s="55">
        <v>13.009</v>
      </c>
      <c r="D1082" s="55">
        <v>18.478999999999999</v>
      </c>
      <c r="E1082" s="55" t="s">
        <v>527</v>
      </c>
      <c r="F1082" s="55" t="s">
        <v>527</v>
      </c>
    </row>
    <row r="1083" spans="1:6">
      <c r="A1083" s="54">
        <v>40557</v>
      </c>
      <c r="B1083" s="55">
        <v>25.539000000000001</v>
      </c>
      <c r="C1083" s="55">
        <v>17.044</v>
      </c>
      <c r="D1083" s="55">
        <v>24.443999999999999</v>
      </c>
      <c r="E1083" s="55" t="s">
        <v>527</v>
      </c>
      <c r="F1083" s="55" t="s">
        <v>527</v>
      </c>
    </row>
    <row r="1084" spans="1:6">
      <c r="A1084" s="54">
        <v>40558</v>
      </c>
      <c r="B1084" s="55">
        <v>29.431999999999999</v>
      </c>
      <c r="C1084" s="55">
        <v>18.693000000000001</v>
      </c>
      <c r="D1084" s="55">
        <v>27.928000000000001</v>
      </c>
      <c r="E1084" s="55" t="s">
        <v>527</v>
      </c>
      <c r="F1084" s="55" t="s">
        <v>527</v>
      </c>
    </row>
    <row r="1085" spans="1:6">
      <c r="A1085" s="54">
        <v>40559</v>
      </c>
      <c r="B1085" s="55">
        <v>24.693000000000001</v>
      </c>
      <c r="C1085" s="55">
        <v>15.641999999999999</v>
      </c>
      <c r="D1085" s="55">
        <v>23.343</v>
      </c>
      <c r="E1085" s="55" t="s">
        <v>527</v>
      </c>
      <c r="F1085" s="55" t="s">
        <v>527</v>
      </c>
    </row>
    <row r="1086" spans="1:6">
      <c r="A1086" s="54">
        <v>40560</v>
      </c>
      <c r="B1086" s="55">
        <v>20.745000000000001</v>
      </c>
      <c r="C1086" s="55">
        <v>13.593</v>
      </c>
      <c r="D1086" s="55">
        <v>19.54</v>
      </c>
      <c r="E1086" s="55" t="s">
        <v>527</v>
      </c>
      <c r="F1086" s="55" t="s">
        <v>527</v>
      </c>
    </row>
    <row r="1087" spans="1:6">
      <c r="A1087" s="54">
        <v>40561</v>
      </c>
      <c r="B1087" s="55">
        <v>19.582999999999998</v>
      </c>
      <c r="C1087" s="55">
        <v>13.097</v>
      </c>
      <c r="D1087" s="55">
        <v>18.527000000000001</v>
      </c>
      <c r="E1087" s="55" t="s">
        <v>527</v>
      </c>
      <c r="F1087" s="55" t="s">
        <v>527</v>
      </c>
    </row>
    <row r="1088" spans="1:6">
      <c r="A1088" s="54">
        <v>40562</v>
      </c>
      <c r="B1088" s="55">
        <v>20.49</v>
      </c>
      <c r="C1088" s="55">
        <v>13.586</v>
      </c>
      <c r="D1088" s="55">
        <v>19.431000000000001</v>
      </c>
      <c r="E1088" s="55" t="s">
        <v>527</v>
      </c>
      <c r="F1088" s="55" t="s">
        <v>527</v>
      </c>
    </row>
    <row r="1089" spans="1:6">
      <c r="A1089" s="54">
        <v>40563</v>
      </c>
      <c r="B1089" s="55">
        <v>21.512</v>
      </c>
      <c r="C1089" s="55">
        <v>14.362</v>
      </c>
      <c r="D1089" s="55">
        <v>20.46</v>
      </c>
      <c r="E1089" s="55" t="s">
        <v>527</v>
      </c>
      <c r="F1089" s="55" t="s">
        <v>527</v>
      </c>
    </row>
    <row r="1090" spans="1:6">
      <c r="A1090" s="54">
        <v>40564</v>
      </c>
      <c r="B1090" s="55">
        <v>27.256</v>
      </c>
      <c r="C1090" s="55">
        <v>18.21</v>
      </c>
      <c r="D1090" s="55">
        <v>25.968</v>
      </c>
      <c r="E1090" s="55" t="s">
        <v>527</v>
      </c>
      <c r="F1090" s="55" t="s">
        <v>527</v>
      </c>
    </row>
    <row r="1091" spans="1:6">
      <c r="A1091" s="54">
        <v>40565</v>
      </c>
      <c r="B1091" s="55">
        <v>30.716999999999999</v>
      </c>
      <c r="C1091" s="55">
        <v>19.73</v>
      </c>
      <c r="D1091" s="55">
        <v>29.244</v>
      </c>
      <c r="E1091" s="55" t="s">
        <v>527</v>
      </c>
      <c r="F1091" s="55" t="s">
        <v>527</v>
      </c>
    </row>
    <row r="1092" spans="1:6">
      <c r="A1092" s="54">
        <v>40566</v>
      </c>
      <c r="B1092" s="55">
        <v>24.498000000000001</v>
      </c>
      <c r="C1092" s="55">
        <v>15.6</v>
      </c>
      <c r="D1092" s="55">
        <v>23.155999999999999</v>
      </c>
      <c r="E1092" s="55" t="s">
        <v>527</v>
      </c>
      <c r="F1092" s="55" t="s">
        <v>527</v>
      </c>
    </row>
    <row r="1093" spans="1:6">
      <c r="A1093" s="54">
        <v>40567</v>
      </c>
      <c r="B1093" s="55">
        <v>19.928999999999998</v>
      </c>
      <c r="C1093" s="55">
        <v>13.335000000000001</v>
      </c>
      <c r="D1093" s="55">
        <v>18.963000000000001</v>
      </c>
      <c r="E1093" s="55" t="s">
        <v>527</v>
      </c>
      <c r="F1093" s="55" t="s">
        <v>527</v>
      </c>
    </row>
    <row r="1094" spans="1:6">
      <c r="A1094" s="54">
        <v>40568</v>
      </c>
      <c r="B1094" s="55">
        <v>21.004999999999999</v>
      </c>
      <c r="C1094" s="55">
        <v>14.1</v>
      </c>
      <c r="D1094" s="55">
        <v>20.042999999999999</v>
      </c>
      <c r="E1094" s="55" t="s">
        <v>527</v>
      </c>
      <c r="F1094" s="55" t="s">
        <v>527</v>
      </c>
    </row>
    <row r="1095" spans="1:6">
      <c r="A1095" s="54">
        <v>40569</v>
      </c>
      <c r="B1095" s="55">
        <v>22.434999999999999</v>
      </c>
      <c r="C1095" s="55">
        <v>14.84</v>
      </c>
      <c r="D1095" s="55">
        <v>21.408999999999999</v>
      </c>
      <c r="E1095" s="55" t="s">
        <v>527</v>
      </c>
      <c r="F1095" s="55" t="s">
        <v>527</v>
      </c>
    </row>
    <row r="1096" spans="1:6">
      <c r="A1096" s="54">
        <v>40570</v>
      </c>
      <c r="B1096" s="55">
        <v>25.286999999999999</v>
      </c>
      <c r="C1096" s="55">
        <v>16.632999999999999</v>
      </c>
      <c r="D1096" s="55">
        <v>24.096</v>
      </c>
      <c r="E1096" s="55" t="s">
        <v>527</v>
      </c>
      <c r="F1096" s="55" t="s">
        <v>527</v>
      </c>
    </row>
    <row r="1097" spans="1:6">
      <c r="A1097" s="54">
        <v>40571</v>
      </c>
      <c r="B1097" s="55">
        <v>27.727</v>
      </c>
      <c r="C1097" s="55">
        <v>18.224</v>
      </c>
      <c r="D1097" s="55">
        <v>26.457999999999998</v>
      </c>
      <c r="E1097" s="55" t="s">
        <v>527</v>
      </c>
      <c r="F1097" s="55" t="s">
        <v>527</v>
      </c>
    </row>
    <row r="1098" spans="1:6">
      <c r="A1098" s="54">
        <v>40572</v>
      </c>
      <c r="B1098" s="55">
        <v>32.087000000000003</v>
      </c>
      <c r="C1098" s="55">
        <v>20.617000000000001</v>
      </c>
      <c r="D1098" s="55">
        <v>30.515000000000001</v>
      </c>
      <c r="E1098" s="55" t="s">
        <v>527</v>
      </c>
      <c r="F1098" s="55" t="s">
        <v>527</v>
      </c>
    </row>
    <row r="1099" spans="1:6">
      <c r="A1099" s="54">
        <v>40573</v>
      </c>
      <c r="B1099" s="55">
        <v>28.187000000000001</v>
      </c>
      <c r="C1099" s="55">
        <v>18.088999999999999</v>
      </c>
      <c r="D1099" s="55">
        <v>26.58</v>
      </c>
      <c r="E1099" s="55" t="s">
        <v>527</v>
      </c>
      <c r="F1099" s="55" t="s">
        <v>527</v>
      </c>
    </row>
    <row r="1100" spans="1:6">
      <c r="A1100" s="54">
        <v>40574</v>
      </c>
      <c r="B1100" s="55">
        <v>23.273</v>
      </c>
      <c r="C1100" s="55">
        <v>15.4</v>
      </c>
      <c r="D1100" s="55">
        <v>22.068000000000001</v>
      </c>
      <c r="E1100" s="55" t="s">
        <v>527</v>
      </c>
      <c r="F1100" s="55" t="s">
        <v>527</v>
      </c>
    </row>
    <row r="1101" spans="1:6">
      <c r="A1101" s="56"/>
    </row>
    <row r="1102" spans="1:6">
      <c r="A1102" s="57" t="s">
        <v>568</v>
      </c>
    </row>
    <row r="1103" spans="1:6">
      <c r="A1103" s="57" t="s">
        <v>529</v>
      </c>
    </row>
    <row r="1104" spans="1:6" ht="18">
      <c r="A1104" s="58">
        <v>680.40200000000004</v>
      </c>
    </row>
    <row r="1105" spans="1:6">
      <c r="A1105" s="57" t="s">
        <v>531</v>
      </c>
    </row>
    <row r="1106" spans="1:6">
      <c r="A1106" s="59">
        <v>368.78300000000002</v>
      </c>
    </row>
    <row r="1107" spans="1:6">
      <c r="A1107" s="57" t="s">
        <v>533</v>
      </c>
    </row>
    <row r="1108" spans="1:6">
      <c r="A1108" s="60">
        <v>30682</v>
      </c>
    </row>
    <row r="1109" spans="1:6">
      <c r="A1109" s="61"/>
    </row>
    <row r="1110" spans="1:6" ht="30">
      <c r="A1110" s="52" t="s">
        <v>521</v>
      </c>
      <c r="B1110" s="52" t="s">
        <v>522</v>
      </c>
      <c r="C1110" s="52" t="s">
        <v>523</v>
      </c>
      <c r="D1110" s="53" t="s">
        <v>524</v>
      </c>
      <c r="E1110" s="53" t="s">
        <v>525</v>
      </c>
      <c r="F1110" s="53" t="s">
        <v>526</v>
      </c>
    </row>
    <row r="1111" spans="1:6">
      <c r="A1111" s="54">
        <v>40575</v>
      </c>
      <c r="B1111" s="55">
        <v>26.236999999999998</v>
      </c>
      <c r="C1111" s="55">
        <v>17.550999999999998</v>
      </c>
      <c r="D1111" s="55">
        <v>24.888000000000002</v>
      </c>
      <c r="E1111" s="55" t="s">
        <v>527</v>
      </c>
      <c r="F1111" s="55" t="s">
        <v>527</v>
      </c>
    </row>
    <row r="1112" spans="1:6">
      <c r="A1112" s="54">
        <v>40576</v>
      </c>
      <c r="B1112" s="55">
        <v>27.646999999999998</v>
      </c>
      <c r="C1112" s="55">
        <v>18.164999999999999</v>
      </c>
      <c r="D1112" s="55">
        <v>26.175000000000001</v>
      </c>
      <c r="E1112" s="55" t="s">
        <v>527</v>
      </c>
      <c r="F1112" s="55" t="s">
        <v>527</v>
      </c>
    </row>
    <row r="1113" spans="1:6">
      <c r="A1113" s="54">
        <v>40577</v>
      </c>
      <c r="B1113" s="55">
        <v>24.221</v>
      </c>
      <c r="C1113" s="55">
        <v>16.009</v>
      </c>
      <c r="D1113" s="55">
        <v>22.988</v>
      </c>
      <c r="E1113" s="55" t="s">
        <v>527</v>
      </c>
      <c r="F1113" s="55" t="s">
        <v>527</v>
      </c>
    </row>
    <row r="1114" spans="1:6">
      <c r="A1114" s="54">
        <v>40578</v>
      </c>
      <c r="B1114" s="55">
        <v>31.138000000000002</v>
      </c>
      <c r="C1114" s="55">
        <v>20.887</v>
      </c>
      <c r="D1114" s="55">
        <v>29.667999999999999</v>
      </c>
      <c r="E1114" s="55" t="s">
        <v>527</v>
      </c>
      <c r="F1114" s="55" t="s">
        <v>527</v>
      </c>
    </row>
    <row r="1115" spans="1:6">
      <c r="A1115" s="54">
        <v>40579</v>
      </c>
      <c r="B1115" s="55">
        <v>33.145000000000003</v>
      </c>
      <c r="C1115" s="55">
        <v>21.151</v>
      </c>
      <c r="D1115" s="55">
        <v>31.39</v>
      </c>
      <c r="E1115" s="55" t="s">
        <v>527</v>
      </c>
      <c r="F1115" s="55" t="s">
        <v>527</v>
      </c>
    </row>
    <row r="1116" spans="1:6">
      <c r="A1116" s="54">
        <v>40580</v>
      </c>
      <c r="B1116" s="55">
        <v>26.53</v>
      </c>
      <c r="C1116" s="55">
        <v>17.04</v>
      </c>
      <c r="D1116" s="55">
        <v>24.948</v>
      </c>
      <c r="E1116" s="55" t="s">
        <v>527</v>
      </c>
      <c r="F1116" s="55" t="s">
        <v>527</v>
      </c>
    </row>
    <row r="1117" spans="1:6">
      <c r="A1117" s="54">
        <v>40581</v>
      </c>
      <c r="B1117" s="55">
        <v>20.553999999999998</v>
      </c>
      <c r="C1117" s="55">
        <v>13.82</v>
      </c>
      <c r="D1117" s="55">
        <v>19.448</v>
      </c>
      <c r="E1117" s="55" t="s">
        <v>527</v>
      </c>
      <c r="F1117" s="55" t="s">
        <v>527</v>
      </c>
    </row>
    <row r="1118" spans="1:6">
      <c r="A1118" s="54">
        <v>40582</v>
      </c>
      <c r="B1118" s="55">
        <v>21.042000000000002</v>
      </c>
      <c r="C1118" s="55">
        <v>14.202</v>
      </c>
      <c r="D1118" s="55">
        <v>19.937999999999999</v>
      </c>
      <c r="E1118" s="55" t="s">
        <v>527</v>
      </c>
      <c r="F1118" s="55" t="s">
        <v>527</v>
      </c>
    </row>
    <row r="1119" spans="1:6">
      <c r="A1119" s="54">
        <v>40583</v>
      </c>
      <c r="B1119" s="55">
        <v>21.532</v>
      </c>
      <c r="C1119" s="55">
        <v>14.462999999999999</v>
      </c>
      <c r="D1119" s="55">
        <v>20.376999999999999</v>
      </c>
      <c r="E1119" s="55" t="s">
        <v>527</v>
      </c>
      <c r="F1119" s="55" t="s">
        <v>527</v>
      </c>
    </row>
    <row r="1120" spans="1:6">
      <c r="A1120" s="54">
        <v>40584</v>
      </c>
      <c r="B1120" s="55">
        <v>21.17</v>
      </c>
      <c r="C1120" s="55">
        <v>14.073</v>
      </c>
      <c r="D1120" s="55">
        <v>19.989000000000001</v>
      </c>
      <c r="E1120" s="55" t="s">
        <v>527</v>
      </c>
      <c r="F1120" s="55" t="s">
        <v>527</v>
      </c>
    </row>
    <row r="1121" spans="1:6">
      <c r="A1121" s="54">
        <v>40585</v>
      </c>
      <c r="B1121" s="55">
        <v>35.597000000000001</v>
      </c>
      <c r="C1121" s="55">
        <v>24.704999999999998</v>
      </c>
      <c r="D1121" s="55">
        <v>33.914000000000001</v>
      </c>
      <c r="E1121" s="55" t="s">
        <v>527</v>
      </c>
      <c r="F1121" s="55" t="s">
        <v>527</v>
      </c>
    </row>
    <row r="1122" spans="1:6">
      <c r="A1122" s="54">
        <v>40586</v>
      </c>
      <c r="B1122" s="55">
        <v>37.932000000000002</v>
      </c>
      <c r="C1122" s="55">
        <v>24.687000000000001</v>
      </c>
      <c r="D1122" s="55">
        <v>36.051000000000002</v>
      </c>
      <c r="E1122" s="55" t="s">
        <v>527</v>
      </c>
      <c r="F1122" s="55" t="s">
        <v>527</v>
      </c>
    </row>
    <row r="1123" spans="1:6">
      <c r="A1123" s="54">
        <v>40587</v>
      </c>
      <c r="B1123" s="55">
        <v>28.79</v>
      </c>
      <c r="C1123" s="55">
        <v>18.702000000000002</v>
      </c>
      <c r="D1123" s="55">
        <v>27.327999999999999</v>
      </c>
      <c r="E1123" s="55" t="s">
        <v>527</v>
      </c>
      <c r="F1123" s="55" t="s">
        <v>527</v>
      </c>
    </row>
    <row r="1124" spans="1:6">
      <c r="A1124" s="54">
        <v>40588</v>
      </c>
      <c r="B1124" s="55">
        <v>21.878</v>
      </c>
      <c r="C1124" s="55">
        <v>14.583</v>
      </c>
      <c r="D1124" s="55">
        <v>20.768000000000001</v>
      </c>
      <c r="E1124" s="55" t="s">
        <v>527</v>
      </c>
      <c r="F1124" s="55" t="s">
        <v>527</v>
      </c>
    </row>
    <row r="1125" spans="1:6">
      <c r="A1125" s="54">
        <v>40589</v>
      </c>
      <c r="B1125" s="55">
        <v>21.58</v>
      </c>
      <c r="C1125" s="55">
        <v>14.569000000000001</v>
      </c>
      <c r="D1125" s="55">
        <v>20.5</v>
      </c>
      <c r="E1125" s="55" t="s">
        <v>527</v>
      </c>
      <c r="F1125" s="55" t="s">
        <v>527</v>
      </c>
    </row>
    <row r="1126" spans="1:6">
      <c r="A1126" s="54">
        <v>40590</v>
      </c>
      <c r="B1126" s="55">
        <v>21.6</v>
      </c>
      <c r="C1126" s="55">
        <v>14.744</v>
      </c>
      <c r="D1126" s="55">
        <v>20.46</v>
      </c>
      <c r="E1126" s="55" t="s">
        <v>527</v>
      </c>
      <c r="F1126" s="55" t="s">
        <v>527</v>
      </c>
    </row>
    <row r="1127" spans="1:6">
      <c r="A1127" s="54">
        <v>40591</v>
      </c>
      <c r="B1127" s="55">
        <v>23.093</v>
      </c>
      <c r="C1127" s="55">
        <v>15.673999999999999</v>
      </c>
      <c r="D1127" s="55">
        <v>21.928999999999998</v>
      </c>
      <c r="E1127" s="55" t="s">
        <v>527</v>
      </c>
      <c r="F1127" s="55" t="s">
        <v>527</v>
      </c>
    </row>
    <row r="1128" spans="1:6">
      <c r="A1128" s="54">
        <v>40592</v>
      </c>
      <c r="B1128" s="55">
        <v>28.957999999999998</v>
      </c>
      <c r="C1128" s="55">
        <v>19.52</v>
      </c>
      <c r="D1128" s="55">
        <v>27.355</v>
      </c>
      <c r="E1128" s="55" t="s">
        <v>527</v>
      </c>
      <c r="F1128" s="55" t="s">
        <v>527</v>
      </c>
    </row>
    <row r="1129" spans="1:6">
      <c r="A1129" s="54">
        <v>40593</v>
      </c>
      <c r="B1129" s="55">
        <v>32.500999999999998</v>
      </c>
      <c r="C1129" s="55">
        <v>21.218</v>
      </c>
      <c r="D1129" s="55">
        <v>30.658999999999999</v>
      </c>
      <c r="E1129" s="55" t="s">
        <v>527</v>
      </c>
      <c r="F1129" s="55" t="s">
        <v>527</v>
      </c>
    </row>
    <row r="1130" spans="1:6">
      <c r="A1130" s="54">
        <v>40594</v>
      </c>
      <c r="B1130" s="55">
        <v>26.143999999999998</v>
      </c>
      <c r="C1130" s="55">
        <v>16.98</v>
      </c>
      <c r="D1130" s="55">
        <v>24.579000000000001</v>
      </c>
      <c r="E1130" s="55" t="s">
        <v>527</v>
      </c>
      <c r="F1130" s="55" t="s">
        <v>527</v>
      </c>
    </row>
    <row r="1131" spans="1:6">
      <c r="A1131" s="54">
        <v>40595</v>
      </c>
      <c r="B1131" s="55">
        <v>22.038</v>
      </c>
      <c r="C1131" s="55">
        <v>14.603</v>
      </c>
      <c r="D1131" s="55">
        <v>20.655999999999999</v>
      </c>
      <c r="E1131" s="55" t="s">
        <v>527</v>
      </c>
      <c r="F1131" s="55" t="s">
        <v>527</v>
      </c>
    </row>
    <row r="1132" spans="1:6">
      <c r="A1132" s="54">
        <v>40596</v>
      </c>
      <c r="B1132" s="55">
        <v>20.689</v>
      </c>
      <c r="C1132" s="55">
        <v>13.952999999999999</v>
      </c>
      <c r="D1132" s="55">
        <v>19.463999999999999</v>
      </c>
      <c r="E1132" s="55" t="s">
        <v>527</v>
      </c>
      <c r="F1132" s="55" t="s">
        <v>527</v>
      </c>
    </row>
    <row r="1133" spans="1:6">
      <c r="A1133" s="54">
        <v>40597</v>
      </c>
      <c r="B1133" s="55">
        <v>20.399000000000001</v>
      </c>
      <c r="C1133" s="55">
        <v>13.955</v>
      </c>
      <c r="D1133" s="55">
        <v>19.251999999999999</v>
      </c>
      <c r="E1133" s="55" t="s">
        <v>527</v>
      </c>
      <c r="F1133" s="55" t="s">
        <v>527</v>
      </c>
    </row>
    <row r="1134" spans="1:6">
      <c r="A1134" s="54">
        <v>40598</v>
      </c>
      <c r="B1134" s="55">
        <v>21.568000000000001</v>
      </c>
      <c r="C1134" s="55">
        <v>14.747999999999999</v>
      </c>
      <c r="D1134" s="55">
        <v>20.298999999999999</v>
      </c>
      <c r="E1134" s="55" t="s">
        <v>527</v>
      </c>
      <c r="F1134" s="55" t="s">
        <v>527</v>
      </c>
    </row>
    <row r="1135" spans="1:6">
      <c r="A1135" s="54">
        <v>40599</v>
      </c>
      <c r="B1135" s="55">
        <v>28.03</v>
      </c>
      <c r="C1135" s="55">
        <v>18.917999999999999</v>
      </c>
      <c r="D1135" s="55">
        <v>26.459</v>
      </c>
      <c r="E1135" s="55" t="s">
        <v>527</v>
      </c>
      <c r="F1135" s="55" t="s">
        <v>527</v>
      </c>
    </row>
    <row r="1136" spans="1:6">
      <c r="A1136" s="54">
        <v>40600</v>
      </c>
      <c r="B1136" s="55">
        <v>31.388999999999999</v>
      </c>
      <c r="C1136" s="55">
        <v>20.635999999999999</v>
      </c>
      <c r="D1136" s="55">
        <v>29.638999999999999</v>
      </c>
      <c r="E1136" s="55" t="s">
        <v>527</v>
      </c>
      <c r="F1136" s="55" t="s">
        <v>527</v>
      </c>
    </row>
    <row r="1137" spans="1:6">
      <c r="A1137" s="54">
        <v>40601</v>
      </c>
      <c r="B1137" s="55">
        <v>24.923999999999999</v>
      </c>
      <c r="C1137" s="55">
        <v>16.143999999999998</v>
      </c>
      <c r="D1137" s="55">
        <v>23.463999999999999</v>
      </c>
      <c r="E1137" s="55" t="s">
        <v>527</v>
      </c>
      <c r="F1137" s="55" t="s">
        <v>527</v>
      </c>
    </row>
    <row r="1138" spans="1:6">
      <c r="A1138" s="54">
        <v>40602</v>
      </c>
      <c r="B1138" s="55">
        <v>19.010000000000002</v>
      </c>
      <c r="C1138" s="55">
        <v>12.747999999999999</v>
      </c>
      <c r="D1138" s="55">
        <v>17.817</v>
      </c>
      <c r="E1138" s="55" t="s">
        <v>527</v>
      </c>
      <c r="F1138" s="55" t="s">
        <v>527</v>
      </c>
    </row>
    <row r="1139" spans="1:6">
      <c r="A1139" s="56"/>
    </row>
    <row r="1140" spans="1:6">
      <c r="A1140" s="57" t="s">
        <v>569</v>
      </c>
    </row>
    <row r="1141" spans="1:6">
      <c r="A1141" s="57" t="s">
        <v>529</v>
      </c>
    </row>
    <row r="1142" spans="1:6" ht="18">
      <c r="A1142" s="58">
        <v>499.14400000000001</v>
      </c>
    </row>
    <row r="1143" spans="1:6">
      <c r="A1143" s="57" t="s">
        <v>531</v>
      </c>
    </row>
    <row r="1144" spans="1:6">
      <c r="A1144" s="59">
        <v>267.79599999999999</v>
      </c>
    </row>
    <row r="1145" spans="1:6">
      <c r="A1145" s="57" t="s">
        <v>533</v>
      </c>
    </row>
    <row r="1146" spans="1:6">
      <c r="A1146" s="60">
        <v>31413</v>
      </c>
    </row>
    <row r="1147" spans="1:6">
      <c r="A1147" s="61"/>
    </row>
    <row r="1148" spans="1:6" ht="30">
      <c r="A1148" s="52" t="s">
        <v>521</v>
      </c>
      <c r="B1148" s="52" t="s">
        <v>522</v>
      </c>
      <c r="C1148" s="52" t="s">
        <v>523</v>
      </c>
      <c r="D1148" s="53" t="s">
        <v>524</v>
      </c>
      <c r="E1148" s="53" t="s">
        <v>525</v>
      </c>
      <c r="F1148" s="53" t="s">
        <v>526</v>
      </c>
    </row>
    <row r="1149" spans="1:6">
      <c r="A1149" s="54">
        <v>40603</v>
      </c>
      <c r="B1149" s="55">
        <v>18.71</v>
      </c>
      <c r="C1149" s="55">
        <v>12.754</v>
      </c>
      <c r="D1149" s="55">
        <v>17.645</v>
      </c>
      <c r="E1149" s="55" t="s">
        <v>527</v>
      </c>
      <c r="F1149" s="55" t="s">
        <v>527</v>
      </c>
    </row>
    <row r="1150" spans="1:6">
      <c r="A1150" s="54">
        <v>40604</v>
      </c>
      <c r="B1150" s="55">
        <v>19.119</v>
      </c>
      <c r="C1150" s="55">
        <v>13.086</v>
      </c>
      <c r="D1150" s="55">
        <v>17.981000000000002</v>
      </c>
      <c r="E1150" s="55" t="s">
        <v>527</v>
      </c>
      <c r="F1150" s="55" t="s">
        <v>527</v>
      </c>
    </row>
    <row r="1151" spans="1:6">
      <c r="A1151" s="54">
        <v>40605</v>
      </c>
      <c r="B1151" s="55">
        <v>20.151</v>
      </c>
      <c r="C1151" s="55">
        <v>13.74</v>
      </c>
      <c r="D1151" s="55">
        <v>18.917999999999999</v>
      </c>
      <c r="E1151" s="55" t="s">
        <v>527</v>
      </c>
      <c r="F1151" s="55" t="s">
        <v>527</v>
      </c>
    </row>
    <row r="1152" spans="1:6">
      <c r="A1152" s="54">
        <v>40606</v>
      </c>
      <c r="B1152" s="55">
        <v>23.071000000000002</v>
      </c>
      <c r="C1152" s="55">
        <v>15.327</v>
      </c>
      <c r="D1152" s="55">
        <v>21.68</v>
      </c>
      <c r="E1152" s="55" t="s">
        <v>527</v>
      </c>
      <c r="F1152" s="55" t="s">
        <v>527</v>
      </c>
    </row>
    <row r="1153" spans="1:6">
      <c r="A1153" s="54">
        <v>40607</v>
      </c>
      <c r="B1153" s="55">
        <v>24.274000000000001</v>
      </c>
      <c r="C1153" s="55">
        <v>15.436999999999999</v>
      </c>
      <c r="D1153" s="55">
        <v>22.14</v>
      </c>
      <c r="E1153" s="55" t="s">
        <v>527</v>
      </c>
      <c r="F1153" s="55" t="s">
        <v>527</v>
      </c>
    </row>
    <row r="1154" spans="1:6">
      <c r="A1154" s="54">
        <v>40608</v>
      </c>
      <c r="B1154" s="55">
        <v>18.902999999999999</v>
      </c>
      <c r="C1154" s="55">
        <v>11.95</v>
      </c>
      <c r="D1154" s="55">
        <v>17.329000000000001</v>
      </c>
      <c r="E1154" s="55" t="s">
        <v>527</v>
      </c>
      <c r="F1154" s="55" t="s">
        <v>527</v>
      </c>
    </row>
    <row r="1155" spans="1:6">
      <c r="A1155" s="54">
        <v>40609</v>
      </c>
      <c r="B1155" s="55">
        <v>14.308</v>
      </c>
      <c r="C1155" s="55">
        <v>9.3759999999999994</v>
      </c>
      <c r="D1155" s="55">
        <v>13.099</v>
      </c>
      <c r="E1155" s="55" t="s">
        <v>527</v>
      </c>
      <c r="F1155" s="55" t="s">
        <v>527</v>
      </c>
    </row>
    <row r="1156" spans="1:6">
      <c r="A1156" s="54">
        <v>40610</v>
      </c>
      <c r="B1156" s="55">
        <v>14.590999999999999</v>
      </c>
      <c r="C1156" s="55">
        <v>9.6839999999999993</v>
      </c>
      <c r="D1156" s="55">
        <v>13.489000000000001</v>
      </c>
      <c r="E1156" s="55" t="s">
        <v>527</v>
      </c>
      <c r="F1156" s="55" t="s">
        <v>527</v>
      </c>
    </row>
    <row r="1157" spans="1:6">
      <c r="A1157" s="54">
        <v>40611</v>
      </c>
      <c r="B1157" s="55">
        <v>14.95</v>
      </c>
      <c r="C1157" s="55">
        <v>9.9700000000000006</v>
      </c>
      <c r="D1157" s="55">
        <v>13.847</v>
      </c>
      <c r="E1157" s="55" t="s">
        <v>527</v>
      </c>
      <c r="F1157" s="55" t="s">
        <v>527</v>
      </c>
    </row>
    <row r="1158" spans="1:6">
      <c r="A1158" s="54">
        <v>40612</v>
      </c>
      <c r="B1158" s="55">
        <v>15.695</v>
      </c>
      <c r="C1158" s="55">
        <v>10.5</v>
      </c>
      <c r="D1158" s="55">
        <v>14.529</v>
      </c>
      <c r="E1158" s="55" t="s">
        <v>527</v>
      </c>
      <c r="F1158" s="55" t="s">
        <v>527</v>
      </c>
    </row>
    <row r="1159" spans="1:6">
      <c r="A1159" s="54">
        <v>40613</v>
      </c>
      <c r="B1159" s="55">
        <v>18.937000000000001</v>
      </c>
      <c r="C1159" s="55">
        <v>12.551</v>
      </c>
      <c r="D1159" s="55">
        <v>17.420999999999999</v>
      </c>
      <c r="E1159" s="55" t="s">
        <v>527</v>
      </c>
      <c r="F1159" s="55" t="s">
        <v>527</v>
      </c>
    </row>
    <row r="1160" spans="1:6">
      <c r="A1160" s="54">
        <v>40614</v>
      </c>
      <c r="B1160" s="55">
        <v>22.702000000000002</v>
      </c>
      <c r="C1160" s="55">
        <v>14.436999999999999</v>
      </c>
      <c r="D1160" s="55">
        <v>20.675999999999998</v>
      </c>
      <c r="E1160" s="55" t="s">
        <v>527</v>
      </c>
      <c r="F1160" s="55" t="s">
        <v>527</v>
      </c>
    </row>
    <row r="1161" spans="1:6">
      <c r="A1161" s="54">
        <v>40615</v>
      </c>
      <c r="B1161" s="55">
        <v>18.431000000000001</v>
      </c>
      <c r="C1161" s="55">
        <v>11.756</v>
      </c>
      <c r="D1161" s="55">
        <v>16.853999999999999</v>
      </c>
      <c r="E1161" s="55" t="s">
        <v>527</v>
      </c>
      <c r="F1161" s="55" t="s">
        <v>527</v>
      </c>
    </row>
    <row r="1162" spans="1:6">
      <c r="A1162" s="54">
        <v>40616</v>
      </c>
      <c r="B1162" s="55">
        <v>14.445</v>
      </c>
      <c r="C1162" s="55">
        <v>9.5839999999999996</v>
      </c>
      <c r="D1162" s="55">
        <v>13.16</v>
      </c>
      <c r="E1162" s="55" t="s">
        <v>527</v>
      </c>
      <c r="F1162" s="55" t="s">
        <v>527</v>
      </c>
    </row>
    <row r="1163" spans="1:6">
      <c r="A1163" s="54">
        <v>40617</v>
      </c>
      <c r="B1163" s="55">
        <v>14.407</v>
      </c>
      <c r="C1163" s="55">
        <v>9.4529999999999994</v>
      </c>
      <c r="D1163" s="55">
        <v>13.147</v>
      </c>
      <c r="E1163" s="55" t="s">
        <v>527</v>
      </c>
      <c r="F1163" s="55" t="s">
        <v>527</v>
      </c>
    </row>
    <row r="1164" spans="1:6">
      <c r="A1164" s="54">
        <v>40618</v>
      </c>
      <c r="B1164" s="55">
        <v>14.984999999999999</v>
      </c>
      <c r="C1164" s="55">
        <v>9.968</v>
      </c>
      <c r="D1164" s="55">
        <v>13.776</v>
      </c>
      <c r="E1164" s="55" t="s">
        <v>527</v>
      </c>
      <c r="F1164" s="55" t="s">
        <v>527</v>
      </c>
    </row>
    <row r="1165" spans="1:6">
      <c r="A1165" s="54">
        <v>40619</v>
      </c>
      <c r="B1165" s="55">
        <v>16.039000000000001</v>
      </c>
      <c r="C1165" s="55">
        <v>10.611000000000001</v>
      </c>
      <c r="D1165" s="55">
        <v>14.696</v>
      </c>
      <c r="E1165" s="55" t="s">
        <v>527</v>
      </c>
      <c r="F1165" s="55" t="s">
        <v>527</v>
      </c>
    </row>
    <row r="1166" spans="1:6">
      <c r="A1166" s="54">
        <v>40620</v>
      </c>
      <c r="B1166" s="55">
        <v>19.939</v>
      </c>
      <c r="C1166" s="55">
        <v>13.223000000000001</v>
      </c>
      <c r="D1166" s="55">
        <v>18.411000000000001</v>
      </c>
      <c r="E1166" s="55" t="s">
        <v>527</v>
      </c>
      <c r="F1166" s="55" t="s">
        <v>527</v>
      </c>
    </row>
    <row r="1167" spans="1:6">
      <c r="A1167" s="54">
        <v>40621</v>
      </c>
      <c r="B1167" s="55">
        <v>22.975000000000001</v>
      </c>
      <c r="C1167" s="55">
        <v>14.584</v>
      </c>
      <c r="D1167" s="55">
        <v>21.105</v>
      </c>
      <c r="E1167" s="55" t="s">
        <v>527</v>
      </c>
      <c r="F1167" s="55" t="s">
        <v>527</v>
      </c>
    </row>
    <row r="1168" spans="1:6">
      <c r="A1168" s="54">
        <v>40622</v>
      </c>
      <c r="B1168" s="55">
        <v>19.742000000000001</v>
      </c>
      <c r="C1168" s="55">
        <v>12.456</v>
      </c>
      <c r="D1168" s="55">
        <v>18.164999999999999</v>
      </c>
      <c r="E1168" s="55" t="s">
        <v>527</v>
      </c>
      <c r="F1168" s="55" t="s">
        <v>527</v>
      </c>
    </row>
    <row r="1169" spans="1:6">
      <c r="A1169" s="54">
        <v>40623</v>
      </c>
      <c r="B1169" s="55">
        <v>14.853999999999999</v>
      </c>
      <c r="C1169" s="55">
        <v>9.83</v>
      </c>
      <c r="D1169" s="55">
        <v>13.634</v>
      </c>
      <c r="E1169" s="55" t="s">
        <v>527</v>
      </c>
      <c r="F1169" s="55" t="s">
        <v>527</v>
      </c>
    </row>
    <row r="1170" spans="1:6">
      <c r="A1170" s="54">
        <v>40624</v>
      </c>
      <c r="B1170" s="55">
        <v>14.335000000000001</v>
      </c>
      <c r="C1170" s="55">
        <v>9.5280000000000005</v>
      </c>
      <c r="D1170" s="55">
        <v>13.134</v>
      </c>
      <c r="E1170" s="55" t="s">
        <v>527</v>
      </c>
      <c r="F1170" s="55" t="s">
        <v>527</v>
      </c>
    </row>
    <row r="1171" spans="1:6">
      <c r="A1171" s="54">
        <v>40625</v>
      </c>
      <c r="B1171" s="55">
        <v>14.849</v>
      </c>
      <c r="C1171" s="55">
        <v>9.7530000000000001</v>
      </c>
      <c r="D1171" s="55">
        <v>13.567</v>
      </c>
      <c r="E1171" s="55" t="s">
        <v>527</v>
      </c>
      <c r="F1171" s="55" t="s">
        <v>527</v>
      </c>
    </row>
    <row r="1172" spans="1:6">
      <c r="A1172" s="54">
        <v>40626</v>
      </c>
      <c r="B1172" s="55">
        <v>15.127000000000001</v>
      </c>
      <c r="C1172" s="55">
        <v>10.074</v>
      </c>
      <c r="D1172" s="55">
        <v>13.86</v>
      </c>
      <c r="E1172" s="55" t="s">
        <v>527</v>
      </c>
      <c r="F1172" s="55" t="s">
        <v>527</v>
      </c>
    </row>
    <row r="1173" spans="1:6">
      <c r="A1173" s="54">
        <v>40627</v>
      </c>
      <c r="B1173" s="55">
        <v>18.818999999999999</v>
      </c>
      <c r="C1173" s="55">
        <v>12.581</v>
      </c>
      <c r="D1173" s="55">
        <v>17.268000000000001</v>
      </c>
      <c r="E1173" s="55" t="s">
        <v>527</v>
      </c>
      <c r="F1173" s="55" t="s">
        <v>527</v>
      </c>
    </row>
    <row r="1174" spans="1:6">
      <c r="A1174" s="54">
        <v>40628</v>
      </c>
      <c r="B1174" s="55">
        <v>22.181999999999999</v>
      </c>
      <c r="C1174" s="55">
        <v>14.132</v>
      </c>
      <c r="D1174" s="55">
        <v>20.378</v>
      </c>
      <c r="E1174" s="55" t="s">
        <v>527</v>
      </c>
      <c r="F1174" s="55" t="s">
        <v>527</v>
      </c>
    </row>
    <row r="1175" spans="1:6">
      <c r="A1175" s="54">
        <v>40629</v>
      </c>
      <c r="B1175" s="55">
        <v>18.071000000000002</v>
      </c>
      <c r="C1175" s="55">
        <v>11.411</v>
      </c>
      <c r="D1175" s="55">
        <v>16.536000000000001</v>
      </c>
      <c r="E1175" s="55" t="s">
        <v>527</v>
      </c>
      <c r="F1175" s="55" t="s">
        <v>527</v>
      </c>
    </row>
    <row r="1176" spans="1:6">
      <c r="A1176" s="54">
        <v>40630</v>
      </c>
      <c r="B1176" s="55">
        <v>14.395</v>
      </c>
      <c r="C1176" s="55">
        <v>9.593</v>
      </c>
      <c r="D1176" s="55">
        <v>13.196</v>
      </c>
      <c r="E1176" s="55" t="s">
        <v>527</v>
      </c>
      <c r="F1176" s="55" t="s">
        <v>527</v>
      </c>
    </row>
    <row r="1177" spans="1:6">
      <c r="A1177" s="54">
        <v>40631</v>
      </c>
      <c r="B1177" s="55">
        <v>14.369</v>
      </c>
      <c r="C1177" s="55">
        <v>9.6790000000000003</v>
      </c>
      <c r="D1177" s="55">
        <v>13.198</v>
      </c>
      <c r="E1177" s="55" t="s">
        <v>527</v>
      </c>
      <c r="F1177" s="55" t="s">
        <v>527</v>
      </c>
    </row>
    <row r="1178" spans="1:6">
      <c r="A1178" s="54">
        <v>40632</v>
      </c>
      <c r="B1178" s="55">
        <v>13.935</v>
      </c>
      <c r="C1178" s="55">
        <v>9.4209999999999994</v>
      </c>
      <c r="D1178" s="55">
        <v>12.984</v>
      </c>
      <c r="E1178" s="55" t="s">
        <v>527</v>
      </c>
      <c r="F1178" s="55" t="s">
        <v>527</v>
      </c>
    </row>
    <row r="1179" spans="1:6">
      <c r="A1179" s="54">
        <v>40633</v>
      </c>
      <c r="B1179" s="55">
        <v>14.443</v>
      </c>
      <c r="C1179" s="55">
        <v>9.6349999999999998</v>
      </c>
      <c r="D1179" s="55">
        <v>13.321</v>
      </c>
      <c r="E1179" s="55" t="s">
        <v>527</v>
      </c>
      <c r="F1179" s="55" t="s">
        <v>527</v>
      </c>
    </row>
    <row r="1180" spans="1:6">
      <c r="A1180" s="56"/>
    </row>
    <row r="1181" spans="1:6">
      <c r="A1181" s="57" t="s">
        <v>570</v>
      </c>
    </row>
    <row r="1182" spans="1:6">
      <c r="A1182" s="57" t="s">
        <v>529</v>
      </c>
    </row>
    <row r="1183" spans="1:6" ht="18">
      <c r="A1183" s="58">
        <v>463.42399999999998</v>
      </c>
    </row>
    <row r="1184" spans="1:6">
      <c r="A1184" s="57" t="s">
        <v>531</v>
      </c>
    </row>
    <row r="1185" spans="1:6">
      <c r="A1185" s="59">
        <v>247.173</v>
      </c>
    </row>
    <row r="1186" spans="1:6">
      <c r="A1186" s="57" t="s">
        <v>533</v>
      </c>
    </row>
    <row r="1187" spans="1:6">
      <c r="A1187" s="60">
        <v>31778</v>
      </c>
    </row>
    <row r="1188" spans="1:6">
      <c r="A1188" s="61"/>
    </row>
    <row r="1189" spans="1:6" ht="30">
      <c r="A1189" s="52" t="s">
        <v>521</v>
      </c>
      <c r="B1189" s="52" t="s">
        <v>522</v>
      </c>
      <c r="C1189" s="52" t="s">
        <v>523</v>
      </c>
      <c r="D1189" s="53" t="s">
        <v>524</v>
      </c>
      <c r="E1189" s="53" t="s">
        <v>525</v>
      </c>
      <c r="F1189" s="53" t="s">
        <v>526</v>
      </c>
    </row>
    <row r="1190" spans="1:6">
      <c r="A1190" s="54">
        <v>40634</v>
      </c>
      <c r="B1190" s="55">
        <v>17.925999999999998</v>
      </c>
      <c r="C1190" s="55">
        <v>12.028</v>
      </c>
      <c r="D1190" s="55">
        <v>16.408000000000001</v>
      </c>
      <c r="E1190" s="55" t="s">
        <v>527</v>
      </c>
      <c r="F1190" s="55" t="s">
        <v>527</v>
      </c>
    </row>
    <row r="1191" spans="1:6">
      <c r="A1191" s="54">
        <v>40635</v>
      </c>
      <c r="B1191" s="55">
        <v>21.805</v>
      </c>
      <c r="C1191" s="55">
        <v>13.856</v>
      </c>
      <c r="D1191" s="55">
        <v>20.081</v>
      </c>
      <c r="E1191" s="55" t="s">
        <v>527</v>
      </c>
      <c r="F1191" s="55" t="s">
        <v>527</v>
      </c>
    </row>
    <row r="1192" spans="1:6">
      <c r="A1192" s="54">
        <v>40636</v>
      </c>
      <c r="B1192" s="55">
        <v>18.202999999999999</v>
      </c>
      <c r="C1192" s="55">
        <v>11.558999999999999</v>
      </c>
      <c r="D1192" s="55">
        <v>16.707999999999998</v>
      </c>
      <c r="E1192" s="55" t="s">
        <v>527</v>
      </c>
      <c r="F1192" s="55" t="s">
        <v>527</v>
      </c>
    </row>
    <row r="1193" spans="1:6">
      <c r="A1193" s="54">
        <v>40637</v>
      </c>
      <c r="B1193" s="55">
        <v>14.327</v>
      </c>
      <c r="C1193" s="55">
        <v>9.6329999999999991</v>
      </c>
      <c r="D1193" s="55">
        <v>13.202</v>
      </c>
      <c r="E1193" s="55" t="s">
        <v>527</v>
      </c>
      <c r="F1193" s="55" t="s">
        <v>527</v>
      </c>
    </row>
    <row r="1194" spans="1:6">
      <c r="A1194" s="54">
        <v>40638</v>
      </c>
      <c r="B1194" s="55">
        <v>13.945</v>
      </c>
      <c r="C1194" s="55">
        <v>9.452</v>
      </c>
      <c r="D1194" s="55">
        <v>12.97</v>
      </c>
      <c r="E1194" s="55" t="s">
        <v>527</v>
      </c>
      <c r="F1194" s="55" t="s">
        <v>527</v>
      </c>
    </row>
    <row r="1195" spans="1:6">
      <c r="A1195" s="54">
        <v>40639</v>
      </c>
      <c r="B1195" s="55">
        <v>13.912000000000001</v>
      </c>
      <c r="C1195" s="55">
        <v>9.327</v>
      </c>
      <c r="D1195" s="55">
        <v>12.84</v>
      </c>
      <c r="E1195" s="55" t="s">
        <v>527</v>
      </c>
      <c r="F1195" s="55" t="s">
        <v>527</v>
      </c>
    </row>
    <row r="1196" spans="1:6">
      <c r="A1196" s="54">
        <v>40640</v>
      </c>
      <c r="B1196" s="55">
        <v>13.82</v>
      </c>
      <c r="C1196" s="55">
        <v>9.2330000000000005</v>
      </c>
      <c r="D1196" s="55">
        <v>12.744</v>
      </c>
      <c r="E1196" s="55" t="s">
        <v>527</v>
      </c>
      <c r="F1196" s="55" t="s">
        <v>527</v>
      </c>
    </row>
    <row r="1197" spans="1:6">
      <c r="A1197" s="54">
        <v>40641</v>
      </c>
      <c r="B1197" s="55">
        <v>18.273</v>
      </c>
      <c r="C1197" s="55">
        <v>12.12</v>
      </c>
      <c r="D1197" s="55">
        <v>16.952000000000002</v>
      </c>
      <c r="E1197" s="55" t="s">
        <v>527</v>
      </c>
      <c r="F1197" s="55" t="s">
        <v>527</v>
      </c>
    </row>
    <row r="1198" spans="1:6">
      <c r="A1198" s="54">
        <v>40642</v>
      </c>
      <c r="B1198" s="55">
        <v>20.98</v>
      </c>
      <c r="C1198" s="55">
        <v>13.484999999999999</v>
      </c>
      <c r="D1198" s="55">
        <v>19.382000000000001</v>
      </c>
      <c r="E1198" s="55" t="s">
        <v>527</v>
      </c>
      <c r="F1198" s="55" t="s">
        <v>527</v>
      </c>
    </row>
    <row r="1199" spans="1:6">
      <c r="A1199" s="54">
        <v>40643</v>
      </c>
      <c r="B1199" s="55">
        <v>17.657</v>
      </c>
      <c r="C1199" s="55">
        <v>11.102</v>
      </c>
      <c r="D1199" s="55">
        <v>16.350000000000001</v>
      </c>
      <c r="E1199" s="55" t="s">
        <v>527</v>
      </c>
      <c r="F1199" s="55" t="s">
        <v>527</v>
      </c>
    </row>
    <row r="1200" spans="1:6">
      <c r="A1200" s="54">
        <v>40644</v>
      </c>
      <c r="B1200" s="55">
        <v>14.15</v>
      </c>
      <c r="C1200" s="55">
        <v>9.3989999999999991</v>
      </c>
      <c r="D1200" s="55">
        <v>13.068</v>
      </c>
      <c r="E1200" s="55" t="s">
        <v>527</v>
      </c>
      <c r="F1200" s="55" t="s">
        <v>527</v>
      </c>
    </row>
    <row r="1201" spans="1:6">
      <c r="A1201" s="54">
        <v>40645</v>
      </c>
      <c r="B1201" s="55">
        <v>14.669</v>
      </c>
      <c r="C1201" s="55">
        <v>9.5860000000000003</v>
      </c>
      <c r="D1201" s="55">
        <v>13.518000000000001</v>
      </c>
      <c r="E1201" s="55" t="s">
        <v>527</v>
      </c>
      <c r="F1201" s="55" t="s">
        <v>527</v>
      </c>
    </row>
    <row r="1202" spans="1:6">
      <c r="A1202" s="54">
        <v>40646</v>
      </c>
      <c r="B1202" s="55">
        <v>14.159000000000001</v>
      </c>
      <c r="C1202" s="55">
        <v>9.3320000000000007</v>
      </c>
      <c r="D1202" s="55">
        <v>12.968</v>
      </c>
      <c r="E1202" s="55" t="s">
        <v>527</v>
      </c>
      <c r="F1202" s="55" t="s">
        <v>527</v>
      </c>
    </row>
    <row r="1203" spans="1:6">
      <c r="A1203" s="54">
        <v>40647</v>
      </c>
      <c r="B1203" s="55">
        <v>14.56</v>
      </c>
      <c r="C1203" s="55">
        <v>9.4710000000000001</v>
      </c>
      <c r="D1203" s="55">
        <v>13.269</v>
      </c>
      <c r="E1203" s="55" t="s">
        <v>527</v>
      </c>
      <c r="F1203" s="55" t="s">
        <v>527</v>
      </c>
    </row>
    <row r="1204" spans="1:6">
      <c r="A1204" s="54">
        <v>40648</v>
      </c>
      <c r="B1204" s="55">
        <v>18.228000000000002</v>
      </c>
      <c r="C1204" s="55">
        <v>12.097</v>
      </c>
      <c r="D1204" s="55">
        <v>16.922000000000001</v>
      </c>
      <c r="E1204" s="55" t="s">
        <v>527</v>
      </c>
      <c r="F1204" s="55" t="s">
        <v>527</v>
      </c>
    </row>
    <row r="1205" spans="1:6">
      <c r="A1205" s="54">
        <v>40649</v>
      </c>
      <c r="B1205" s="55">
        <v>20.623999999999999</v>
      </c>
      <c r="C1205" s="55">
        <v>13.266</v>
      </c>
      <c r="D1205" s="55">
        <v>19.056000000000001</v>
      </c>
      <c r="E1205" s="55" t="s">
        <v>527</v>
      </c>
      <c r="F1205" s="55" t="s">
        <v>527</v>
      </c>
    </row>
    <row r="1206" spans="1:6">
      <c r="A1206" s="54">
        <v>40650</v>
      </c>
      <c r="B1206" s="55">
        <v>17.931000000000001</v>
      </c>
      <c r="C1206" s="55">
        <v>11.433</v>
      </c>
      <c r="D1206" s="55">
        <v>16.622</v>
      </c>
      <c r="E1206" s="55" t="s">
        <v>527</v>
      </c>
      <c r="F1206" s="55" t="s">
        <v>527</v>
      </c>
    </row>
    <row r="1207" spans="1:6">
      <c r="A1207" s="54">
        <v>40651</v>
      </c>
      <c r="B1207" s="55">
        <v>15.483000000000001</v>
      </c>
      <c r="C1207" s="55">
        <v>10.143000000000001</v>
      </c>
      <c r="D1207" s="55">
        <v>14.199</v>
      </c>
      <c r="E1207" s="55" t="s">
        <v>527</v>
      </c>
      <c r="F1207" s="55" t="s">
        <v>527</v>
      </c>
    </row>
    <row r="1208" spans="1:6">
      <c r="A1208" s="54">
        <v>40652</v>
      </c>
      <c r="B1208" s="55">
        <v>15.988</v>
      </c>
      <c r="C1208" s="55">
        <v>10.35</v>
      </c>
      <c r="D1208" s="55">
        <v>14.676</v>
      </c>
      <c r="E1208" s="55" t="s">
        <v>527</v>
      </c>
      <c r="F1208" s="55" t="s">
        <v>527</v>
      </c>
    </row>
    <row r="1209" spans="1:6">
      <c r="A1209" s="54">
        <v>40653</v>
      </c>
      <c r="B1209" s="55">
        <v>16.234999999999999</v>
      </c>
      <c r="C1209" s="55">
        <v>10.654</v>
      </c>
      <c r="D1209" s="55">
        <v>15.018000000000001</v>
      </c>
      <c r="E1209" s="55" t="s">
        <v>527</v>
      </c>
      <c r="F1209" s="55" t="s">
        <v>527</v>
      </c>
    </row>
    <row r="1210" spans="1:6">
      <c r="A1210" s="54">
        <v>40654</v>
      </c>
      <c r="B1210" s="55">
        <v>17.707999999999998</v>
      </c>
      <c r="C1210" s="55">
        <v>11.705</v>
      </c>
      <c r="D1210" s="55">
        <v>16.297000000000001</v>
      </c>
      <c r="E1210" s="55" t="s">
        <v>527</v>
      </c>
      <c r="F1210" s="55" t="s">
        <v>527</v>
      </c>
    </row>
    <row r="1211" spans="1:6">
      <c r="A1211" s="54">
        <v>40655</v>
      </c>
      <c r="B1211" s="55">
        <v>20.155000000000001</v>
      </c>
      <c r="C1211" s="55">
        <v>13.068</v>
      </c>
      <c r="D1211" s="55">
        <v>18.542000000000002</v>
      </c>
      <c r="E1211" s="55" t="s">
        <v>527</v>
      </c>
      <c r="F1211" s="55" t="s">
        <v>527</v>
      </c>
    </row>
    <row r="1212" spans="1:6">
      <c r="A1212" s="54">
        <v>40656</v>
      </c>
      <c r="B1212" s="55">
        <v>19.548999999999999</v>
      </c>
      <c r="C1212" s="55">
        <v>12.385</v>
      </c>
      <c r="D1212" s="55">
        <v>18.100000000000001</v>
      </c>
      <c r="E1212" s="55" t="s">
        <v>527</v>
      </c>
      <c r="F1212" s="55" t="s">
        <v>527</v>
      </c>
    </row>
    <row r="1213" spans="1:6">
      <c r="A1213" s="54">
        <v>40657</v>
      </c>
      <c r="B1213" s="55">
        <v>16.870999999999999</v>
      </c>
      <c r="C1213" s="55">
        <v>10.97</v>
      </c>
      <c r="D1213" s="55">
        <v>15.478</v>
      </c>
      <c r="E1213" s="55" t="s">
        <v>527</v>
      </c>
      <c r="F1213" s="55" t="s">
        <v>527</v>
      </c>
    </row>
    <row r="1214" spans="1:6">
      <c r="A1214" s="54">
        <v>40658</v>
      </c>
      <c r="B1214" s="55">
        <v>15.826000000000001</v>
      </c>
      <c r="C1214" s="55">
        <v>10.218</v>
      </c>
      <c r="D1214" s="55">
        <v>14.497</v>
      </c>
      <c r="E1214" s="55" t="s">
        <v>527</v>
      </c>
      <c r="F1214" s="55" t="s">
        <v>527</v>
      </c>
    </row>
    <row r="1215" spans="1:6">
      <c r="A1215" s="54">
        <v>40659</v>
      </c>
      <c r="B1215" s="55">
        <v>14.753</v>
      </c>
      <c r="C1215" s="55">
        <v>9.7370000000000001</v>
      </c>
      <c r="D1215" s="55">
        <v>13.696999999999999</v>
      </c>
      <c r="E1215" s="55" t="s">
        <v>527</v>
      </c>
      <c r="F1215" s="55" t="s">
        <v>527</v>
      </c>
    </row>
    <row r="1216" spans="1:6">
      <c r="A1216" s="54">
        <v>40660</v>
      </c>
      <c r="B1216" s="55">
        <v>13.766999999999999</v>
      </c>
      <c r="C1216" s="55">
        <v>9.1460000000000008</v>
      </c>
      <c r="D1216" s="55">
        <v>12.856</v>
      </c>
      <c r="E1216" s="55" t="s">
        <v>527</v>
      </c>
      <c r="F1216" s="55" t="s">
        <v>527</v>
      </c>
    </row>
    <row r="1217" spans="1:6">
      <c r="A1217" s="54">
        <v>40661</v>
      </c>
      <c r="B1217" s="55">
        <v>14.374000000000001</v>
      </c>
      <c r="C1217" s="55">
        <v>9.5820000000000007</v>
      </c>
      <c r="D1217" s="55">
        <v>13.28</v>
      </c>
      <c r="E1217" s="55" t="s">
        <v>527</v>
      </c>
      <c r="F1217" s="55" t="s">
        <v>527</v>
      </c>
    </row>
    <row r="1218" spans="1:6">
      <c r="A1218" s="54">
        <v>40662</v>
      </c>
      <c r="B1218" s="55">
        <v>17.349</v>
      </c>
      <c r="C1218" s="55">
        <v>11.529</v>
      </c>
      <c r="D1218" s="55">
        <v>16.053999999999998</v>
      </c>
      <c r="E1218" s="55" t="s">
        <v>527</v>
      </c>
      <c r="F1218" s="55" t="s">
        <v>527</v>
      </c>
    </row>
    <row r="1219" spans="1:6">
      <c r="A1219" s="54">
        <v>40663</v>
      </c>
      <c r="B1219" s="55">
        <v>19.271999999999998</v>
      </c>
      <c r="C1219" s="55">
        <v>12.18</v>
      </c>
      <c r="D1219" s="55">
        <v>17.670000000000002</v>
      </c>
      <c r="E1219" s="55" t="s">
        <v>527</v>
      </c>
      <c r="F1219" s="55" t="s">
        <v>527</v>
      </c>
    </row>
    <row r="1220" spans="1:6">
      <c r="A1220" s="56"/>
    </row>
    <row r="1221" spans="1:6">
      <c r="A1221" s="57" t="s">
        <v>571</v>
      </c>
    </row>
    <row r="1222" spans="1:6">
      <c r="A1222" s="57" t="s">
        <v>529</v>
      </c>
    </row>
    <row r="1223" spans="1:6" ht="18">
      <c r="A1223" s="58">
        <v>528.64200000000005</v>
      </c>
    </row>
    <row r="1224" spans="1:6">
      <c r="A1224" s="57" t="s">
        <v>531</v>
      </c>
    </row>
    <row r="1225" spans="1:6">
      <c r="A1225" s="59">
        <v>287.75</v>
      </c>
    </row>
    <row r="1226" spans="1:6">
      <c r="A1226" s="57" t="s">
        <v>533</v>
      </c>
    </row>
    <row r="1227" spans="1:6">
      <c r="A1227" s="60">
        <v>30682</v>
      </c>
    </row>
    <row r="1228" spans="1:6">
      <c r="A1228" s="61"/>
    </row>
    <row r="1229" spans="1:6" ht="30">
      <c r="A1229" s="52" t="s">
        <v>521</v>
      </c>
      <c r="B1229" s="52" t="s">
        <v>522</v>
      </c>
      <c r="C1229" s="52" t="s">
        <v>523</v>
      </c>
      <c r="D1229" s="53" t="s">
        <v>524</v>
      </c>
      <c r="E1229" s="53" t="s">
        <v>525</v>
      </c>
      <c r="F1229" s="53" t="s">
        <v>526</v>
      </c>
    </row>
    <row r="1230" spans="1:6">
      <c r="A1230" s="54">
        <v>40664</v>
      </c>
      <c r="B1230" s="55">
        <v>17.295999999999999</v>
      </c>
      <c r="C1230" s="55">
        <v>11.063000000000001</v>
      </c>
      <c r="D1230" s="55">
        <v>15.843</v>
      </c>
      <c r="E1230" s="55" t="s">
        <v>527</v>
      </c>
      <c r="F1230" s="55" t="s">
        <v>527</v>
      </c>
    </row>
    <row r="1231" spans="1:6">
      <c r="A1231" s="54">
        <v>40665</v>
      </c>
      <c r="B1231" s="55">
        <v>13.863</v>
      </c>
      <c r="C1231" s="55">
        <v>9.1270000000000007</v>
      </c>
      <c r="D1231" s="55">
        <v>12.821999999999999</v>
      </c>
      <c r="E1231" s="55" t="s">
        <v>527</v>
      </c>
      <c r="F1231" s="55" t="s">
        <v>527</v>
      </c>
    </row>
    <row r="1232" spans="1:6">
      <c r="A1232" s="54">
        <v>40666</v>
      </c>
      <c r="B1232" s="55">
        <v>13.57</v>
      </c>
      <c r="C1232" s="55">
        <v>8.9009999999999998</v>
      </c>
      <c r="D1232" s="55">
        <v>12.599</v>
      </c>
      <c r="E1232" s="55" t="s">
        <v>527</v>
      </c>
      <c r="F1232" s="55" t="s">
        <v>527</v>
      </c>
    </row>
    <row r="1233" spans="1:6">
      <c r="A1233" s="54">
        <v>40667</v>
      </c>
      <c r="B1233" s="55">
        <v>13.177</v>
      </c>
      <c r="C1233" s="55">
        <v>8.6479999999999997</v>
      </c>
      <c r="D1233" s="55">
        <v>12.199</v>
      </c>
      <c r="E1233" s="55" t="s">
        <v>527</v>
      </c>
      <c r="F1233" s="55" t="s">
        <v>527</v>
      </c>
    </row>
    <row r="1234" spans="1:6">
      <c r="A1234" s="54">
        <v>40668</v>
      </c>
      <c r="B1234" s="55">
        <v>13.757</v>
      </c>
      <c r="C1234" s="55">
        <v>8.9160000000000004</v>
      </c>
      <c r="D1234" s="55">
        <v>12.647</v>
      </c>
      <c r="E1234" s="55" t="s">
        <v>527</v>
      </c>
      <c r="F1234" s="55" t="s">
        <v>527</v>
      </c>
    </row>
    <row r="1235" spans="1:6">
      <c r="A1235" s="54">
        <v>40669</v>
      </c>
      <c r="B1235" s="55">
        <v>17.053000000000001</v>
      </c>
      <c r="C1235" s="55">
        <v>11.212</v>
      </c>
      <c r="D1235" s="55">
        <v>15.717000000000001</v>
      </c>
      <c r="E1235" s="55" t="s">
        <v>527</v>
      </c>
      <c r="F1235" s="55" t="s">
        <v>527</v>
      </c>
    </row>
    <row r="1236" spans="1:6">
      <c r="A1236" s="54">
        <v>40670</v>
      </c>
      <c r="B1236" s="55">
        <v>19.734000000000002</v>
      </c>
      <c r="C1236" s="55">
        <v>12.612</v>
      </c>
      <c r="D1236" s="55">
        <v>18.123999999999999</v>
      </c>
      <c r="E1236" s="55" t="s">
        <v>527</v>
      </c>
      <c r="F1236" s="55" t="s">
        <v>527</v>
      </c>
    </row>
    <row r="1237" spans="1:6">
      <c r="A1237" s="54">
        <v>40671</v>
      </c>
      <c r="B1237" s="55">
        <v>17.75</v>
      </c>
      <c r="C1237" s="55">
        <v>11.477</v>
      </c>
      <c r="D1237" s="55">
        <v>16.489999999999998</v>
      </c>
      <c r="E1237" s="55" t="s">
        <v>527</v>
      </c>
      <c r="F1237" s="55" t="s">
        <v>527</v>
      </c>
    </row>
    <row r="1238" spans="1:6">
      <c r="A1238" s="54">
        <v>40672</v>
      </c>
      <c r="B1238" s="55">
        <v>17.367000000000001</v>
      </c>
      <c r="C1238" s="55">
        <v>11.972</v>
      </c>
      <c r="D1238" s="55">
        <v>16.37</v>
      </c>
      <c r="E1238" s="55" t="s">
        <v>527</v>
      </c>
      <c r="F1238" s="55" t="s">
        <v>527</v>
      </c>
    </row>
    <row r="1239" spans="1:6">
      <c r="A1239" s="54">
        <v>40673</v>
      </c>
      <c r="B1239" s="55">
        <v>18.393000000000001</v>
      </c>
      <c r="C1239" s="55">
        <v>12.535</v>
      </c>
      <c r="D1239" s="55">
        <v>17.379000000000001</v>
      </c>
      <c r="E1239" s="55" t="s">
        <v>527</v>
      </c>
      <c r="F1239" s="55" t="s">
        <v>527</v>
      </c>
    </row>
    <row r="1240" spans="1:6">
      <c r="A1240" s="54">
        <v>40674</v>
      </c>
      <c r="B1240" s="55">
        <v>18.817</v>
      </c>
      <c r="C1240" s="55">
        <v>12.695</v>
      </c>
      <c r="D1240" s="55">
        <v>17.789000000000001</v>
      </c>
      <c r="E1240" s="55" t="s">
        <v>527</v>
      </c>
      <c r="F1240" s="55" t="s">
        <v>527</v>
      </c>
    </row>
    <row r="1241" spans="1:6">
      <c r="A1241" s="54">
        <v>40675</v>
      </c>
      <c r="B1241" s="55">
        <v>19.856999999999999</v>
      </c>
      <c r="C1241" s="55">
        <v>13.381</v>
      </c>
      <c r="D1241" s="55">
        <v>18.853000000000002</v>
      </c>
      <c r="E1241" s="55" t="s">
        <v>527</v>
      </c>
      <c r="F1241" s="55" t="s">
        <v>527</v>
      </c>
    </row>
    <row r="1242" spans="1:6">
      <c r="A1242" s="54">
        <v>40676</v>
      </c>
      <c r="B1242" s="55">
        <v>25.163</v>
      </c>
      <c r="C1242" s="55">
        <v>16.920999999999999</v>
      </c>
      <c r="D1242" s="55">
        <v>23.884</v>
      </c>
      <c r="E1242" s="55" t="s">
        <v>527</v>
      </c>
      <c r="F1242" s="55" t="s">
        <v>527</v>
      </c>
    </row>
    <row r="1243" spans="1:6">
      <c r="A1243" s="54">
        <v>40677</v>
      </c>
      <c r="B1243" s="55">
        <v>29.303000000000001</v>
      </c>
      <c r="C1243" s="55">
        <v>19.134</v>
      </c>
      <c r="D1243" s="55">
        <v>27.637</v>
      </c>
      <c r="E1243" s="55" t="s">
        <v>527</v>
      </c>
      <c r="F1243" s="55" t="s">
        <v>527</v>
      </c>
    </row>
    <row r="1244" spans="1:6">
      <c r="A1244" s="54">
        <v>40678</v>
      </c>
      <c r="B1244" s="55">
        <v>24.777999999999999</v>
      </c>
      <c r="C1244" s="55">
        <v>16.155999999999999</v>
      </c>
      <c r="D1244" s="55">
        <v>23.268000000000001</v>
      </c>
      <c r="E1244" s="55" t="s">
        <v>527</v>
      </c>
      <c r="F1244" s="55" t="s">
        <v>527</v>
      </c>
    </row>
    <row r="1245" spans="1:6">
      <c r="A1245" s="54">
        <v>40679</v>
      </c>
      <c r="B1245" s="55">
        <v>20.186</v>
      </c>
      <c r="C1245" s="55">
        <v>13.911</v>
      </c>
      <c r="D1245" s="55">
        <v>19.175999999999998</v>
      </c>
      <c r="E1245" s="55" t="s">
        <v>527</v>
      </c>
      <c r="F1245" s="55" t="s">
        <v>527</v>
      </c>
    </row>
    <row r="1246" spans="1:6">
      <c r="A1246" s="54">
        <v>40680</v>
      </c>
      <c r="B1246" s="55">
        <v>18.367000000000001</v>
      </c>
      <c r="C1246" s="55">
        <v>12.526999999999999</v>
      </c>
      <c r="D1246" s="55">
        <v>17.297000000000001</v>
      </c>
      <c r="E1246" s="55" t="s">
        <v>527</v>
      </c>
      <c r="F1246" s="55" t="s">
        <v>527</v>
      </c>
    </row>
    <row r="1247" spans="1:6">
      <c r="A1247" s="54">
        <v>40681</v>
      </c>
      <c r="B1247" s="55">
        <v>18.349</v>
      </c>
      <c r="C1247" s="55">
        <v>12.613</v>
      </c>
      <c r="D1247" s="55">
        <v>17.277000000000001</v>
      </c>
      <c r="E1247" s="55" t="s">
        <v>527</v>
      </c>
      <c r="F1247" s="55" t="s">
        <v>527</v>
      </c>
    </row>
    <row r="1248" spans="1:6">
      <c r="A1248" s="54">
        <v>40682</v>
      </c>
      <c r="B1248" s="55">
        <v>18.242999999999999</v>
      </c>
      <c r="C1248" s="55">
        <v>12.352</v>
      </c>
      <c r="D1248" s="55">
        <v>17.105</v>
      </c>
      <c r="E1248" s="55" t="s">
        <v>527</v>
      </c>
      <c r="F1248" s="55" t="s">
        <v>527</v>
      </c>
    </row>
    <row r="1249" spans="1:6">
      <c r="A1249" s="54">
        <v>40683</v>
      </c>
      <c r="B1249" s="55">
        <v>24.911000000000001</v>
      </c>
      <c r="C1249" s="55">
        <v>16.908999999999999</v>
      </c>
      <c r="D1249" s="55">
        <v>23.63</v>
      </c>
      <c r="E1249" s="55" t="s">
        <v>527</v>
      </c>
      <c r="F1249" s="55" t="s">
        <v>527</v>
      </c>
    </row>
    <row r="1250" spans="1:6">
      <c r="A1250" s="54">
        <v>40684</v>
      </c>
      <c r="B1250" s="55">
        <v>27.731999999999999</v>
      </c>
      <c r="C1250" s="55">
        <v>18.161000000000001</v>
      </c>
      <c r="D1250" s="55">
        <v>26.218</v>
      </c>
      <c r="E1250" s="55" t="s">
        <v>527</v>
      </c>
      <c r="F1250" s="55" t="s">
        <v>527</v>
      </c>
    </row>
    <row r="1251" spans="1:6">
      <c r="A1251" s="54">
        <v>40685</v>
      </c>
      <c r="B1251" s="55">
        <v>21.196999999999999</v>
      </c>
      <c r="C1251" s="55">
        <v>13.972</v>
      </c>
      <c r="D1251" s="55">
        <v>19.966000000000001</v>
      </c>
      <c r="E1251" s="55" t="s">
        <v>527</v>
      </c>
      <c r="F1251" s="55" t="s">
        <v>527</v>
      </c>
    </row>
    <row r="1252" spans="1:6">
      <c r="A1252" s="54">
        <v>40686</v>
      </c>
      <c r="B1252" s="55">
        <v>17.599</v>
      </c>
      <c r="C1252" s="55">
        <v>12.023999999999999</v>
      </c>
      <c r="D1252" s="55">
        <v>16.510999999999999</v>
      </c>
      <c r="E1252" s="55" t="s">
        <v>527</v>
      </c>
      <c r="F1252" s="55" t="s">
        <v>527</v>
      </c>
    </row>
    <row r="1253" spans="1:6">
      <c r="A1253" s="54">
        <v>40687</v>
      </c>
      <c r="B1253" s="55">
        <v>13.909000000000001</v>
      </c>
      <c r="C1253" s="55">
        <v>9.2349999999999994</v>
      </c>
      <c r="D1253" s="55">
        <v>12.744999999999999</v>
      </c>
      <c r="E1253" s="55" t="s">
        <v>527</v>
      </c>
      <c r="F1253" s="55" t="s">
        <v>527</v>
      </c>
    </row>
    <row r="1254" spans="1:6">
      <c r="A1254" s="54">
        <v>40688</v>
      </c>
      <c r="B1254" s="55">
        <v>13.000999999999999</v>
      </c>
      <c r="C1254" s="55">
        <v>8.4380000000000006</v>
      </c>
      <c r="D1254" s="55">
        <v>11.798</v>
      </c>
      <c r="E1254" s="55" t="s">
        <v>527</v>
      </c>
      <c r="F1254" s="55" t="s">
        <v>527</v>
      </c>
    </row>
    <row r="1255" spans="1:6">
      <c r="A1255" s="54">
        <v>40689</v>
      </c>
      <c r="B1255" s="55">
        <v>13.093</v>
      </c>
      <c r="C1255" s="55">
        <v>8.6679999999999993</v>
      </c>
      <c r="D1255" s="55">
        <v>11.912000000000001</v>
      </c>
      <c r="E1255" s="55" t="s">
        <v>527</v>
      </c>
      <c r="F1255" s="55" t="s">
        <v>527</v>
      </c>
    </row>
    <row r="1256" spans="1:6">
      <c r="A1256" s="54">
        <v>40690</v>
      </c>
      <c r="B1256" s="55">
        <v>17.437999999999999</v>
      </c>
      <c r="C1256" s="55">
        <v>11.462</v>
      </c>
      <c r="D1256" s="55">
        <v>15.948</v>
      </c>
      <c r="E1256" s="55" t="s">
        <v>527</v>
      </c>
      <c r="F1256" s="55" t="s">
        <v>527</v>
      </c>
    </row>
    <row r="1257" spans="1:6">
      <c r="A1257" s="54">
        <v>40691</v>
      </c>
      <c r="B1257" s="55">
        <v>19.597000000000001</v>
      </c>
      <c r="C1257" s="55">
        <v>12.375999999999999</v>
      </c>
      <c r="D1257" s="55">
        <v>18.007999999999999</v>
      </c>
      <c r="E1257" s="55" t="s">
        <v>527</v>
      </c>
      <c r="F1257" s="55" t="s">
        <v>527</v>
      </c>
    </row>
    <row r="1258" spans="1:6">
      <c r="A1258" s="54">
        <v>40692</v>
      </c>
      <c r="B1258" s="55">
        <v>15.683999999999999</v>
      </c>
      <c r="C1258" s="55">
        <v>9.7899999999999991</v>
      </c>
      <c r="D1258" s="55">
        <v>14.305999999999999</v>
      </c>
      <c r="E1258" s="55" t="s">
        <v>527</v>
      </c>
      <c r="F1258" s="55" t="s">
        <v>527</v>
      </c>
    </row>
    <row r="1259" spans="1:6">
      <c r="A1259" s="54">
        <v>40693</v>
      </c>
      <c r="B1259" s="55">
        <v>13.891</v>
      </c>
      <c r="C1259" s="55">
        <v>9.1579999999999995</v>
      </c>
      <c r="D1259" s="55">
        <v>12.605</v>
      </c>
      <c r="E1259" s="55" t="s">
        <v>527</v>
      </c>
      <c r="F1259" s="55" t="s">
        <v>527</v>
      </c>
    </row>
    <row r="1260" spans="1:6">
      <c r="A1260" s="54">
        <v>40694</v>
      </c>
      <c r="B1260" s="55">
        <v>13.714</v>
      </c>
      <c r="C1260" s="55">
        <v>9.1150000000000002</v>
      </c>
      <c r="D1260" s="55">
        <v>12.519</v>
      </c>
      <c r="E1260" s="55" t="s">
        <v>527</v>
      </c>
      <c r="F1260" s="55" t="s">
        <v>527</v>
      </c>
    </row>
    <row r="1261" spans="1:6">
      <c r="A1261" s="56"/>
    </row>
    <row r="1262" spans="1:6">
      <c r="A1262" s="57" t="s">
        <v>572</v>
      </c>
    </row>
    <row r="1263" spans="1:6">
      <c r="A1263" s="57" t="s">
        <v>529</v>
      </c>
    </row>
    <row r="1264" spans="1:6" ht="18">
      <c r="A1264" s="58">
        <v>407.40800000000002</v>
      </c>
    </row>
    <row r="1265" spans="1:6">
      <c r="A1265" s="57" t="s">
        <v>531</v>
      </c>
    </row>
    <row r="1266" spans="1:6">
      <c r="A1266" s="59">
        <v>219.61799999999999</v>
      </c>
    </row>
    <row r="1267" spans="1:6">
      <c r="A1267" s="57" t="s">
        <v>533</v>
      </c>
    </row>
    <row r="1268" spans="1:6">
      <c r="A1268" s="60">
        <v>31413</v>
      </c>
    </row>
    <row r="1269" spans="1:6">
      <c r="A1269" s="61"/>
    </row>
    <row r="1270" spans="1:6" ht="30">
      <c r="A1270" s="52" t="s">
        <v>521</v>
      </c>
      <c r="B1270" s="52" t="s">
        <v>522</v>
      </c>
      <c r="C1270" s="52" t="s">
        <v>523</v>
      </c>
      <c r="D1270" s="53" t="s">
        <v>524</v>
      </c>
      <c r="E1270" s="53" t="s">
        <v>525</v>
      </c>
      <c r="F1270" s="53" t="s">
        <v>526</v>
      </c>
    </row>
    <row r="1271" spans="1:6">
      <c r="A1271" s="54">
        <v>40695</v>
      </c>
      <c r="B1271" s="55">
        <v>14.262</v>
      </c>
      <c r="C1271" s="55">
        <v>9.4559999999999995</v>
      </c>
      <c r="D1271" s="55">
        <v>13.117000000000001</v>
      </c>
      <c r="E1271" s="55" t="s">
        <v>527</v>
      </c>
      <c r="F1271" s="55" t="s">
        <v>527</v>
      </c>
    </row>
    <row r="1272" spans="1:6">
      <c r="A1272" s="54">
        <v>40696</v>
      </c>
      <c r="B1272" s="55">
        <v>15.087999999999999</v>
      </c>
      <c r="C1272" s="55">
        <v>9.8659999999999997</v>
      </c>
      <c r="D1272" s="55">
        <v>13.848000000000001</v>
      </c>
      <c r="E1272" s="55" t="s">
        <v>527</v>
      </c>
      <c r="F1272" s="55" t="s">
        <v>527</v>
      </c>
    </row>
    <row r="1273" spans="1:6">
      <c r="A1273" s="54">
        <v>40697</v>
      </c>
      <c r="B1273" s="55">
        <v>17.277999999999999</v>
      </c>
      <c r="C1273" s="55">
        <v>11.222</v>
      </c>
      <c r="D1273" s="55">
        <v>15.92</v>
      </c>
      <c r="E1273" s="55" t="s">
        <v>527</v>
      </c>
      <c r="F1273" s="55" t="s">
        <v>527</v>
      </c>
    </row>
    <row r="1274" spans="1:6">
      <c r="A1274" s="54">
        <v>40698</v>
      </c>
      <c r="B1274" s="55">
        <v>18.173999999999999</v>
      </c>
      <c r="C1274" s="55">
        <v>11.507</v>
      </c>
      <c r="D1274" s="55">
        <v>16.756</v>
      </c>
      <c r="E1274" s="55" t="s">
        <v>527</v>
      </c>
      <c r="F1274" s="55" t="s">
        <v>527</v>
      </c>
    </row>
    <row r="1275" spans="1:6">
      <c r="A1275" s="54">
        <v>40699</v>
      </c>
      <c r="B1275" s="55">
        <v>15.581</v>
      </c>
      <c r="C1275" s="55">
        <v>9.9499999999999993</v>
      </c>
      <c r="D1275" s="55">
        <v>14.26</v>
      </c>
      <c r="E1275" s="55" t="s">
        <v>527</v>
      </c>
      <c r="F1275" s="55" t="s">
        <v>527</v>
      </c>
    </row>
    <row r="1276" spans="1:6">
      <c r="A1276" s="54">
        <v>40700</v>
      </c>
      <c r="B1276" s="55">
        <v>11.89</v>
      </c>
      <c r="C1276" s="55">
        <v>7.7889999999999997</v>
      </c>
      <c r="D1276" s="55">
        <v>10.795999999999999</v>
      </c>
      <c r="E1276" s="55" t="s">
        <v>527</v>
      </c>
      <c r="F1276" s="55" t="s">
        <v>527</v>
      </c>
    </row>
    <row r="1277" spans="1:6">
      <c r="A1277" s="54">
        <v>40701</v>
      </c>
      <c r="B1277" s="55">
        <v>10.76</v>
      </c>
      <c r="C1277" s="55">
        <v>7.1109999999999998</v>
      </c>
      <c r="D1277" s="55">
        <v>9.8559999999999999</v>
      </c>
      <c r="E1277" s="55" t="s">
        <v>527</v>
      </c>
      <c r="F1277" s="55" t="s">
        <v>527</v>
      </c>
    </row>
    <row r="1278" spans="1:6">
      <c r="A1278" s="54">
        <v>40702</v>
      </c>
      <c r="B1278" s="55">
        <v>9.6850000000000005</v>
      </c>
      <c r="C1278" s="55">
        <v>6.7460000000000004</v>
      </c>
      <c r="D1278" s="55">
        <v>9.2379999999999995</v>
      </c>
      <c r="E1278" s="55" t="s">
        <v>527</v>
      </c>
      <c r="F1278" s="55" t="s">
        <v>527</v>
      </c>
    </row>
    <row r="1279" spans="1:6">
      <c r="A1279" s="54">
        <v>40703</v>
      </c>
      <c r="B1279" s="55">
        <v>10.118</v>
      </c>
      <c r="C1279" s="55">
        <v>7.01</v>
      </c>
      <c r="D1279" s="55">
        <v>9.6460000000000008</v>
      </c>
      <c r="E1279" s="55" t="s">
        <v>527</v>
      </c>
      <c r="F1279" s="55" t="s">
        <v>527</v>
      </c>
    </row>
    <row r="1280" spans="1:6">
      <c r="A1280" s="54">
        <v>40704</v>
      </c>
      <c r="B1280" s="55">
        <v>14.455</v>
      </c>
      <c r="C1280" s="55">
        <v>9.8010000000000002</v>
      </c>
      <c r="D1280" s="55">
        <v>13.516999999999999</v>
      </c>
      <c r="E1280" s="55" t="s">
        <v>527</v>
      </c>
      <c r="F1280" s="55" t="s">
        <v>527</v>
      </c>
    </row>
    <row r="1281" spans="1:6">
      <c r="A1281" s="54">
        <v>40705</v>
      </c>
      <c r="B1281" s="55">
        <v>17.946000000000002</v>
      </c>
      <c r="C1281" s="55">
        <v>11.295999999999999</v>
      </c>
      <c r="D1281" s="55">
        <v>16.585999999999999</v>
      </c>
      <c r="E1281" s="55" t="s">
        <v>527</v>
      </c>
      <c r="F1281" s="55" t="s">
        <v>527</v>
      </c>
    </row>
    <row r="1282" spans="1:6">
      <c r="A1282" s="54">
        <v>40706</v>
      </c>
      <c r="B1282" s="55">
        <v>15.260999999999999</v>
      </c>
      <c r="C1282" s="55">
        <v>9.6219999999999999</v>
      </c>
      <c r="D1282" s="55">
        <v>14.042999999999999</v>
      </c>
      <c r="E1282" s="55" t="s">
        <v>527</v>
      </c>
      <c r="F1282" s="55" t="s">
        <v>527</v>
      </c>
    </row>
    <row r="1283" spans="1:6">
      <c r="A1283" s="54">
        <v>40707</v>
      </c>
      <c r="B1283" s="55">
        <v>14.097</v>
      </c>
      <c r="C1283" s="55">
        <v>9.0909999999999993</v>
      </c>
      <c r="D1283" s="55">
        <v>12.898</v>
      </c>
      <c r="E1283" s="55" t="s">
        <v>527</v>
      </c>
      <c r="F1283" s="55" t="s">
        <v>527</v>
      </c>
    </row>
    <row r="1284" spans="1:6">
      <c r="A1284" s="54">
        <v>40708</v>
      </c>
      <c r="B1284" s="55">
        <v>13.686</v>
      </c>
      <c r="C1284" s="55">
        <v>8.8629999999999995</v>
      </c>
      <c r="D1284" s="55">
        <v>12.512</v>
      </c>
      <c r="E1284" s="55" t="s">
        <v>527</v>
      </c>
      <c r="F1284" s="55" t="s">
        <v>527</v>
      </c>
    </row>
    <row r="1285" spans="1:6">
      <c r="A1285" s="54">
        <v>40709</v>
      </c>
      <c r="B1285" s="55">
        <v>13.851000000000001</v>
      </c>
      <c r="C1285" s="55">
        <v>9.0640000000000001</v>
      </c>
      <c r="D1285" s="55">
        <v>12.739000000000001</v>
      </c>
      <c r="E1285" s="55" t="s">
        <v>527</v>
      </c>
      <c r="F1285" s="55" t="s">
        <v>527</v>
      </c>
    </row>
    <row r="1286" spans="1:6">
      <c r="A1286" s="54">
        <v>40710</v>
      </c>
      <c r="B1286" s="55">
        <v>13.973000000000001</v>
      </c>
      <c r="C1286" s="55">
        <v>9.1479999999999997</v>
      </c>
      <c r="D1286" s="55">
        <v>12.826000000000001</v>
      </c>
      <c r="E1286" s="55" t="s">
        <v>527</v>
      </c>
      <c r="F1286" s="55" t="s">
        <v>527</v>
      </c>
    </row>
    <row r="1287" spans="1:6">
      <c r="A1287" s="54">
        <v>40711</v>
      </c>
      <c r="B1287" s="55">
        <v>17.300999999999998</v>
      </c>
      <c r="C1287" s="55">
        <v>11.452</v>
      </c>
      <c r="D1287" s="55">
        <v>16.048999999999999</v>
      </c>
      <c r="E1287" s="55" t="s">
        <v>527</v>
      </c>
      <c r="F1287" s="55" t="s">
        <v>527</v>
      </c>
    </row>
    <row r="1288" spans="1:6">
      <c r="A1288" s="54">
        <v>40712</v>
      </c>
      <c r="B1288" s="55">
        <v>17.405000000000001</v>
      </c>
      <c r="C1288" s="55">
        <v>11.308</v>
      </c>
      <c r="D1288" s="55">
        <v>16.172000000000001</v>
      </c>
      <c r="E1288" s="55" t="s">
        <v>527</v>
      </c>
      <c r="F1288" s="55" t="s">
        <v>527</v>
      </c>
    </row>
    <row r="1289" spans="1:6">
      <c r="A1289" s="54">
        <v>40713</v>
      </c>
      <c r="B1289" s="55">
        <v>15.474</v>
      </c>
      <c r="C1289" s="55">
        <v>9.641</v>
      </c>
      <c r="D1289" s="55">
        <v>14.295999999999999</v>
      </c>
      <c r="E1289" s="55" t="s">
        <v>527</v>
      </c>
      <c r="F1289" s="55" t="s">
        <v>527</v>
      </c>
    </row>
    <row r="1290" spans="1:6">
      <c r="A1290" s="54">
        <v>40714</v>
      </c>
      <c r="B1290" s="55">
        <v>14.04</v>
      </c>
      <c r="C1290" s="55">
        <v>9.0830000000000002</v>
      </c>
      <c r="D1290" s="55">
        <v>12.904999999999999</v>
      </c>
      <c r="E1290" s="55" t="s">
        <v>527</v>
      </c>
      <c r="F1290" s="55" t="s">
        <v>527</v>
      </c>
    </row>
    <row r="1291" spans="1:6">
      <c r="A1291" s="54">
        <v>40715</v>
      </c>
      <c r="B1291" s="55">
        <v>14.09</v>
      </c>
      <c r="C1291" s="55">
        <v>9.1219999999999999</v>
      </c>
      <c r="D1291" s="55">
        <v>12.895</v>
      </c>
      <c r="E1291" s="55" t="s">
        <v>527</v>
      </c>
      <c r="F1291" s="55" t="s">
        <v>527</v>
      </c>
    </row>
    <row r="1292" spans="1:6">
      <c r="A1292" s="54">
        <v>40716</v>
      </c>
      <c r="B1292" s="55">
        <v>14.446999999999999</v>
      </c>
      <c r="C1292" s="55">
        <v>9.3889999999999993</v>
      </c>
      <c r="D1292" s="55">
        <v>13.166</v>
      </c>
      <c r="E1292" s="55" t="s">
        <v>527</v>
      </c>
      <c r="F1292" s="55" t="s">
        <v>527</v>
      </c>
    </row>
    <row r="1293" spans="1:6">
      <c r="A1293" s="54">
        <v>40717</v>
      </c>
      <c r="B1293" s="55">
        <v>14.952999999999999</v>
      </c>
      <c r="C1293" s="55">
        <v>9.7739999999999991</v>
      </c>
      <c r="D1293" s="55">
        <v>13.695</v>
      </c>
      <c r="E1293" s="55" t="s">
        <v>527</v>
      </c>
      <c r="F1293" s="55" t="s">
        <v>527</v>
      </c>
    </row>
    <row r="1294" spans="1:6">
      <c r="A1294" s="54">
        <v>40718</v>
      </c>
      <c r="B1294" s="55">
        <v>18.006</v>
      </c>
      <c r="C1294" s="55">
        <v>11.8</v>
      </c>
      <c r="D1294" s="55">
        <v>16.588000000000001</v>
      </c>
      <c r="E1294" s="55" t="s">
        <v>527</v>
      </c>
      <c r="F1294" s="55" t="s">
        <v>527</v>
      </c>
    </row>
    <row r="1295" spans="1:6">
      <c r="A1295" s="54">
        <v>40719</v>
      </c>
      <c r="B1295" s="55">
        <v>17.524999999999999</v>
      </c>
      <c r="C1295" s="55">
        <v>11.198</v>
      </c>
      <c r="D1295" s="55">
        <v>16.209</v>
      </c>
      <c r="E1295" s="55" t="s">
        <v>527</v>
      </c>
      <c r="F1295" s="55" t="s">
        <v>527</v>
      </c>
    </row>
    <row r="1296" spans="1:6">
      <c r="A1296" s="54">
        <v>40720</v>
      </c>
      <c r="B1296" s="55">
        <v>14.83</v>
      </c>
      <c r="C1296" s="55">
        <v>9.4870000000000001</v>
      </c>
      <c r="D1296" s="55">
        <v>13.596</v>
      </c>
      <c r="E1296" s="55" t="s">
        <v>527</v>
      </c>
      <c r="F1296" s="55" t="s">
        <v>527</v>
      </c>
    </row>
    <row r="1297" spans="1:6">
      <c r="A1297" s="54">
        <v>40721</v>
      </c>
      <c r="B1297" s="55">
        <v>14.010999999999999</v>
      </c>
      <c r="C1297" s="55">
        <v>9.0440000000000005</v>
      </c>
      <c r="D1297" s="55">
        <v>12.843</v>
      </c>
      <c r="E1297" s="55" t="s">
        <v>527</v>
      </c>
      <c r="F1297" s="55" t="s">
        <v>527</v>
      </c>
    </row>
    <row r="1298" spans="1:6">
      <c r="A1298" s="54">
        <v>40722</v>
      </c>
      <c r="B1298" s="55">
        <v>14.429</v>
      </c>
      <c r="C1298" s="55">
        <v>9.1790000000000003</v>
      </c>
      <c r="D1298" s="55">
        <v>13.252000000000001</v>
      </c>
      <c r="E1298" s="55" t="s">
        <v>527</v>
      </c>
      <c r="F1298" s="55" t="s">
        <v>527</v>
      </c>
    </row>
    <row r="1299" spans="1:6">
      <c r="A1299" s="54">
        <v>40723</v>
      </c>
      <c r="B1299" s="55">
        <v>14.467000000000001</v>
      </c>
      <c r="C1299" s="55">
        <v>9.327</v>
      </c>
      <c r="D1299" s="55">
        <v>13.301</v>
      </c>
      <c r="E1299" s="55" t="s">
        <v>527</v>
      </c>
      <c r="F1299" s="55" t="s">
        <v>527</v>
      </c>
    </row>
    <row r="1300" spans="1:6">
      <c r="A1300" s="54">
        <v>40724</v>
      </c>
      <c r="B1300" s="55">
        <v>15.018000000000001</v>
      </c>
      <c r="C1300" s="55">
        <v>9.6959999999999997</v>
      </c>
      <c r="D1300" s="55">
        <v>13.882999999999999</v>
      </c>
      <c r="E1300" s="55" t="s">
        <v>527</v>
      </c>
      <c r="F1300" s="55" t="s">
        <v>527</v>
      </c>
    </row>
    <row r="1301" spans="1:6">
      <c r="A1301" s="56"/>
    </row>
    <row r="1302" spans="1:6">
      <c r="A1302" s="57" t="s">
        <v>573</v>
      </c>
    </row>
    <row r="1303" spans="1:6">
      <c r="A1303" s="57" t="s">
        <v>529</v>
      </c>
    </row>
    <row r="1304" spans="1:6" ht="18">
      <c r="A1304" s="58">
        <v>434.82799999999997</v>
      </c>
    </row>
    <row r="1305" spans="1:6">
      <c r="A1305" s="57" t="s">
        <v>531</v>
      </c>
    </row>
    <row r="1306" spans="1:6">
      <c r="A1306" s="59">
        <v>236.298</v>
      </c>
    </row>
    <row r="1307" spans="1:6">
      <c r="A1307" s="57" t="s">
        <v>533</v>
      </c>
    </row>
    <row r="1308" spans="1:6">
      <c r="A1308" s="60">
        <v>30682</v>
      </c>
    </row>
    <row r="1309" spans="1:6">
      <c r="A1309" s="61"/>
    </row>
    <row r="1310" spans="1:6" ht="30">
      <c r="A1310" s="52" t="s">
        <v>521</v>
      </c>
      <c r="B1310" s="52" t="s">
        <v>522</v>
      </c>
      <c r="C1310" s="52" t="s">
        <v>523</v>
      </c>
      <c r="D1310" s="53" t="s">
        <v>524</v>
      </c>
      <c r="E1310" s="53" t="s">
        <v>525</v>
      </c>
      <c r="F1310" s="53" t="s">
        <v>526</v>
      </c>
    </row>
    <row r="1311" spans="1:6">
      <c r="A1311" s="54">
        <v>40725</v>
      </c>
      <c r="B1311" s="55">
        <v>16.849</v>
      </c>
      <c r="C1311" s="55">
        <v>10.839</v>
      </c>
      <c r="D1311" s="55">
        <v>15.686</v>
      </c>
      <c r="E1311" s="55" t="s">
        <v>527</v>
      </c>
      <c r="F1311" s="55" t="s">
        <v>527</v>
      </c>
    </row>
    <row r="1312" spans="1:6">
      <c r="A1312" s="54">
        <v>40726</v>
      </c>
      <c r="B1312" s="55">
        <v>16.239999999999998</v>
      </c>
      <c r="C1312" s="55">
        <v>10.231</v>
      </c>
      <c r="D1312" s="55">
        <v>15.084</v>
      </c>
      <c r="E1312" s="55" t="s">
        <v>527</v>
      </c>
      <c r="F1312" s="55" t="s">
        <v>527</v>
      </c>
    </row>
    <row r="1313" spans="1:6">
      <c r="A1313" s="54">
        <v>40727</v>
      </c>
      <c r="B1313" s="55">
        <v>14.568</v>
      </c>
      <c r="C1313" s="55">
        <v>9.2360000000000007</v>
      </c>
      <c r="D1313" s="55">
        <v>13.393000000000001</v>
      </c>
      <c r="E1313" s="55" t="s">
        <v>527</v>
      </c>
      <c r="F1313" s="55" t="s">
        <v>527</v>
      </c>
    </row>
    <row r="1314" spans="1:6">
      <c r="A1314" s="54">
        <v>40728</v>
      </c>
      <c r="B1314" s="55">
        <v>13.707000000000001</v>
      </c>
      <c r="C1314" s="55">
        <v>8.7590000000000003</v>
      </c>
      <c r="D1314" s="55">
        <v>12.462</v>
      </c>
      <c r="E1314" s="55" t="s">
        <v>527</v>
      </c>
      <c r="F1314" s="55" t="s">
        <v>527</v>
      </c>
    </row>
    <row r="1315" spans="1:6">
      <c r="A1315" s="54">
        <v>40729</v>
      </c>
      <c r="B1315" s="55">
        <v>14.262</v>
      </c>
      <c r="C1315" s="55">
        <v>9.0640000000000001</v>
      </c>
      <c r="D1315" s="55">
        <v>13.081</v>
      </c>
      <c r="E1315" s="55" t="s">
        <v>527</v>
      </c>
      <c r="F1315" s="55" t="s">
        <v>527</v>
      </c>
    </row>
    <row r="1316" spans="1:6">
      <c r="A1316" s="54">
        <v>40730</v>
      </c>
      <c r="B1316" s="55">
        <v>15.093</v>
      </c>
      <c r="C1316" s="55">
        <v>9.6669999999999998</v>
      </c>
      <c r="D1316" s="55">
        <v>13.808</v>
      </c>
      <c r="E1316" s="55" t="s">
        <v>527</v>
      </c>
      <c r="F1316" s="55" t="s">
        <v>527</v>
      </c>
    </row>
    <row r="1317" spans="1:6">
      <c r="A1317" s="54">
        <v>40731</v>
      </c>
      <c r="B1317" s="55">
        <v>15.186</v>
      </c>
      <c r="C1317" s="55">
        <v>9.7789999999999999</v>
      </c>
      <c r="D1317" s="55">
        <v>13.878</v>
      </c>
      <c r="E1317" s="55" t="s">
        <v>527</v>
      </c>
      <c r="F1317" s="55" t="s">
        <v>527</v>
      </c>
    </row>
    <row r="1318" spans="1:6">
      <c r="A1318" s="54">
        <v>40732</v>
      </c>
      <c r="B1318" s="55">
        <v>17.108000000000001</v>
      </c>
      <c r="C1318" s="55">
        <v>11.195</v>
      </c>
      <c r="D1318" s="55">
        <v>15.686999999999999</v>
      </c>
      <c r="E1318" s="55" t="s">
        <v>527</v>
      </c>
      <c r="F1318" s="55" t="s">
        <v>527</v>
      </c>
    </row>
    <row r="1319" spans="1:6">
      <c r="A1319" s="54">
        <v>40733</v>
      </c>
      <c r="B1319" s="55">
        <v>15.724</v>
      </c>
      <c r="C1319" s="55">
        <v>9.8680000000000003</v>
      </c>
      <c r="D1319" s="55">
        <v>14.43</v>
      </c>
      <c r="E1319" s="55" t="s">
        <v>527</v>
      </c>
      <c r="F1319" s="55" t="s">
        <v>527</v>
      </c>
    </row>
    <row r="1320" spans="1:6">
      <c r="A1320" s="54">
        <v>40734</v>
      </c>
      <c r="B1320" s="55">
        <v>13.81</v>
      </c>
      <c r="C1320" s="55">
        <v>8.7379999999999995</v>
      </c>
      <c r="D1320" s="55">
        <v>12.616</v>
      </c>
      <c r="E1320" s="55" t="s">
        <v>527</v>
      </c>
      <c r="F1320" s="55" t="s">
        <v>527</v>
      </c>
    </row>
    <row r="1321" spans="1:6">
      <c r="A1321" s="54">
        <v>40735</v>
      </c>
      <c r="B1321" s="55">
        <v>13.891</v>
      </c>
      <c r="C1321" s="55">
        <v>8.9109999999999996</v>
      </c>
      <c r="D1321" s="55">
        <v>12.755000000000001</v>
      </c>
      <c r="E1321" s="55" t="s">
        <v>527</v>
      </c>
      <c r="F1321" s="55" t="s">
        <v>527</v>
      </c>
    </row>
    <row r="1322" spans="1:6">
      <c r="A1322" s="54">
        <v>40736</v>
      </c>
      <c r="B1322" s="55">
        <v>14.432</v>
      </c>
      <c r="C1322" s="55">
        <v>9.3149999999999995</v>
      </c>
      <c r="D1322" s="55">
        <v>13.217000000000001</v>
      </c>
      <c r="E1322" s="55" t="s">
        <v>527</v>
      </c>
      <c r="F1322" s="55" t="s">
        <v>527</v>
      </c>
    </row>
    <row r="1323" spans="1:6">
      <c r="A1323" s="54">
        <v>40737</v>
      </c>
      <c r="B1323" s="55">
        <v>15.032</v>
      </c>
      <c r="C1323" s="55">
        <v>9.6240000000000006</v>
      </c>
      <c r="D1323" s="55">
        <v>13.798</v>
      </c>
      <c r="E1323" s="55" t="s">
        <v>527</v>
      </c>
      <c r="F1323" s="55" t="s">
        <v>527</v>
      </c>
    </row>
    <row r="1324" spans="1:6">
      <c r="A1324" s="54">
        <v>40738</v>
      </c>
      <c r="B1324" s="55">
        <v>16.126999999999999</v>
      </c>
      <c r="C1324" s="55">
        <v>10.318</v>
      </c>
      <c r="D1324" s="55">
        <v>14.884</v>
      </c>
      <c r="E1324" s="55" t="s">
        <v>527</v>
      </c>
      <c r="F1324" s="55" t="s">
        <v>527</v>
      </c>
    </row>
    <row r="1325" spans="1:6">
      <c r="A1325" s="54">
        <v>40739</v>
      </c>
      <c r="B1325" s="55">
        <v>16.544</v>
      </c>
      <c r="C1325" s="55">
        <v>10.657999999999999</v>
      </c>
      <c r="D1325" s="55">
        <v>15.355</v>
      </c>
      <c r="E1325" s="55" t="s">
        <v>527</v>
      </c>
      <c r="F1325" s="55" t="s">
        <v>527</v>
      </c>
    </row>
    <row r="1326" spans="1:6">
      <c r="A1326" s="54">
        <v>40740</v>
      </c>
      <c r="B1326" s="55">
        <v>16.291</v>
      </c>
      <c r="C1326" s="55">
        <v>10.487</v>
      </c>
      <c r="D1326" s="55">
        <v>14.875999999999999</v>
      </c>
      <c r="E1326" s="55" t="s">
        <v>527</v>
      </c>
      <c r="F1326" s="55" t="s">
        <v>527</v>
      </c>
    </row>
    <row r="1327" spans="1:6">
      <c r="A1327" s="54">
        <v>40741</v>
      </c>
      <c r="B1327" s="55">
        <v>15.254</v>
      </c>
      <c r="C1327" s="55">
        <v>9.8640000000000008</v>
      </c>
      <c r="D1327" s="55">
        <v>13.808999999999999</v>
      </c>
      <c r="E1327" s="55" t="s">
        <v>527</v>
      </c>
      <c r="F1327" s="55" t="s">
        <v>527</v>
      </c>
    </row>
    <row r="1328" spans="1:6">
      <c r="A1328" s="54">
        <v>40742</v>
      </c>
      <c r="B1328" s="55">
        <v>15.085000000000001</v>
      </c>
      <c r="C1328" s="55">
        <v>9.7579999999999991</v>
      </c>
      <c r="D1328" s="55">
        <v>13.7</v>
      </c>
      <c r="E1328" s="55" t="s">
        <v>527</v>
      </c>
      <c r="F1328" s="55" t="s">
        <v>527</v>
      </c>
    </row>
    <row r="1329" spans="1:6">
      <c r="A1329" s="54">
        <v>40743</v>
      </c>
      <c r="B1329" s="55">
        <v>14.678000000000001</v>
      </c>
      <c r="C1329" s="55">
        <v>9.5370000000000008</v>
      </c>
      <c r="D1329" s="55">
        <v>13.362</v>
      </c>
      <c r="E1329" s="55" t="s">
        <v>527</v>
      </c>
      <c r="F1329" s="55" t="s">
        <v>527</v>
      </c>
    </row>
    <row r="1330" spans="1:6">
      <c r="A1330" s="54">
        <v>40744</v>
      </c>
      <c r="B1330" s="55">
        <v>14.67</v>
      </c>
      <c r="C1330" s="55">
        <v>9.4760000000000009</v>
      </c>
      <c r="D1330" s="55">
        <v>13.423999999999999</v>
      </c>
      <c r="E1330" s="55" t="s">
        <v>527</v>
      </c>
      <c r="F1330" s="55" t="s">
        <v>527</v>
      </c>
    </row>
    <row r="1331" spans="1:6">
      <c r="A1331" s="54">
        <v>40745</v>
      </c>
      <c r="B1331" s="55">
        <v>14.622999999999999</v>
      </c>
      <c r="C1331" s="55">
        <v>9.4079999999999995</v>
      </c>
      <c r="D1331" s="55">
        <v>13.284000000000001</v>
      </c>
      <c r="E1331" s="55" t="s">
        <v>527</v>
      </c>
      <c r="F1331" s="55" t="s">
        <v>527</v>
      </c>
    </row>
    <row r="1332" spans="1:6">
      <c r="A1332" s="54">
        <v>40746</v>
      </c>
      <c r="B1332" s="55">
        <v>16.113</v>
      </c>
      <c r="C1332" s="55">
        <v>10.664999999999999</v>
      </c>
      <c r="D1332" s="55">
        <v>14.861000000000001</v>
      </c>
      <c r="E1332" s="55" t="s">
        <v>527</v>
      </c>
      <c r="F1332" s="55" t="s">
        <v>527</v>
      </c>
    </row>
    <row r="1333" spans="1:6">
      <c r="A1333" s="54">
        <v>40747</v>
      </c>
      <c r="B1333" s="55">
        <v>15.895</v>
      </c>
      <c r="C1333" s="55">
        <v>10.475</v>
      </c>
      <c r="D1333" s="55">
        <v>14.664</v>
      </c>
      <c r="E1333" s="55" t="s">
        <v>527</v>
      </c>
      <c r="F1333" s="55" t="s">
        <v>527</v>
      </c>
    </row>
    <row r="1334" spans="1:6">
      <c r="A1334" s="54">
        <v>40748</v>
      </c>
      <c r="B1334" s="55">
        <v>14.797000000000001</v>
      </c>
      <c r="C1334" s="55">
        <v>9.5839999999999996</v>
      </c>
      <c r="D1334" s="55">
        <v>13.488</v>
      </c>
      <c r="E1334" s="55" t="s">
        <v>527</v>
      </c>
      <c r="F1334" s="55" t="s">
        <v>527</v>
      </c>
    </row>
    <row r="1335" spans="1:6">
      <c r="A1335" s="54">
        <v>40749</v>
      </c>
      <c r="B1335" s="55">
        <v>15.478999999999999</v>
      </c>
      <c r="C1335" s="55">
        <v>10.023</v>
      </c>
      <c r="D1335" s="55">
        <v>14.151999999999999</v>
      </c>
      <c r="E1335" s="55" t="s">
        <v>527</v>
      </c>
      <c r="F1335" s="55" t="s">
        <v>527</v>
      </c>
    </row>
    <row r="1336" spans="1:6">
      <c r="A1336" s="54">
        <v>40750</v>
      </c>
      <c r="B1336" s="55">
        <v>15.231999999999999</v>
      </c>
      <c r="C1336" s="55">
        <v>9.8740000000000006</v>
      </c>
      <c r="D1336" s="55">
        <v>13.962999999999999</v>
      </c>
      <c r="E1336" s="55" t="s">
        <v>527</v>
      </c>
      <c r="F1336" s="55" t="s">
        <v>527</v>
      </c>
    </row>
    <row r="1337" spans="1:6">
      <c r="A1337" s="54">
        <v>40751</v>
      </c>
      <c r="B1337" s="55">
        <v>14.089</v>
      </c>
      <c r="C1337" s="55">
        <v>9.26</v>
      </c>
      <c r="D1337" s="55">
        <v>13.002000000000001</v>
      </c>
      <c r="E1337" s="55" t="s">
        <v>527</v>
      </c>
      <c r="F1337" s="55" t="s">
        <v>527</v>
      </c>
    </row>
    <row r="1338" spans="1:6">
      <c r="A1338" s="54">
        <v>40752</v>
      </c>
      <c r="B1338" s="55">
        <v>14.396000000000001</v>
      </c>
      <c r="C1338" s="55">
        <v>9.4290000000000003</v>
      </c>
      <c r="D1338" s="55">
        <v>13.269</v>
      </c>
      <c r="E1338" s="55" t="s">
        <v>527</v>
      </c>
      <c r="F1338" s="55" t="s">
        <v>527</v>
      </c>
    </row>
    <row r="1339" spans="1:6">
      <c r="A1339" s="54">
        <v>40753</v>
      </c>
      <c r="B1339" s="55">
        <v>16.905000000000001</v>
      </c>
      <c r="C1339" s="55">
        <v>11.177</v>
      </c>
      <c r="D1339" s="55">
        <v>15.54</v>
      </c>
      <c r="E1339" s="55" t="s">
        <v>527</v>
      </c>
      <c r="F1339" s="55" t="s">
        <v>527</v>
      </c>
    </row>
    <row r="1340" spans="1:6">
      <c r="A1340" s="54">
        <v>40754</v>
      </c>
      <c r="B1340" s="55">
        <v>16.939</v>
      </c>
      <c r="C1340" s="55">
        <v>10.836</v>
      </c>
      <c r="D1340" s="55">
        <v>15.651</v>
      </c>
      <c r="E1340" s="55" t="s">
        <v>527</v>
      </c>
      <c r="F1340" s="55" t="s">
        <v>527</v>
      </c>
    </row>
    <row r="1341" spans="1:6">
      <c r="A1341" s="54">
        <v>40755</v>
      </c>
      <c r="B1341" s="55">
        <v>14.832000000000001</v>
      </c>
      <c r="C1341" s="55">
        <v>9.5609999999999999</v>
      </c>
      <c r="D1341" s="55">
        <v>13.648999999999999</v>
      </c>
      <c r="E1341" s="55" t="s">
        <v>527</v>
      </c>
      <c r="F1341" s="55" t="s">
        <v>527</v>
      </c>
    </row>
    <row r="1342" spans="1:6">
      <c r="A1342" s="56"/>
    </row>
    <row r="1343" spans="1:6">
      <c r="A1343" s="57" t="s">
        <v>574</v>
      </c>
    </row>
    <row r="1344" spans="1:6">
      <c r="A1344" s="57" t="s">
        <v>529</v>
      </c>
    </row>
    <row r="1345" spans="1:6" ht="18">
      <c r="A1345" s="58">
        <v>570.16099999999994</v>
      </c>
    </row>
    <row r="1346" spans="1:6">
      <c r="A1346" s="57" t="s">
        <v>531</v>
      </c>
    </row>
    <row r="1347" spans="1:6">
      <c r="A1347" s="59">
        <v>324.01400000000001</v>
      </c>
    </row>
    <row r="1348" spans="1:6">
      <c r="A1348" s="57" t="s">
        <v>533</v>
      </c>
    </row>
    <row r="1349" spans="1:6">
      <c r="A1349" s="60">
        <v>27760</v>
      </c>
    </row>
    <row r="1350" spans="1:6">
      <c r="A1350" s="61"/>
    </row>
    <row r="1351" spans="1:6" ht="30">
      <c r="A1351" s="52" t="s">
        <v>521</v>
      </c>
      <c r="B1351" s="52" t="s">
        <v>522</v>
      </c>
      <c r="C1351" s="52" t="s">
        <v>523</v>
      </c>
      <c r="D1351" s="53" t="s">
        <v>524</v>
      </c>
      <c r="E1351" s="53" t="s">
        <v>525</v>
      </c>
      <c r="F1351" s="53" t="s">
        <v>526</v>
      </c>
    </row>
    <row r="1352" spans="1:6">
      <c r="A1352" s="54">
        <v>40756</v>
      </c>
      <c r="B1352" s="55">
        <v>15.029</v>
      </c>
      <c r="C1352" s="55">
        <v>9.6820000000000004</v>
      </c>
      <c r="D1352" s="55">
        <v>13.707000000000001</v>
      </c>
      <c r="E1352" s="55" t="s">
        <v>527</v>
      </c>
      <c r="F1352" s="55" t="s">
        <v>527</v>
      </c>
    </row>
    <row r="1353" spans="1:6">
      <c r="A1353" s="54">
        <v>40757</v>
      </c>
      <c r="B1353" s="55">
        <v>14.497999999999999</v>
      </c>
      <c r="C1353" s="55">
        <v>9.2579999999999991</v>
      </c>
      <c r="D1353" s="55">
        <v>13.260999999999999</v>
      </c>
      <c r="E1353" s="55" t="s">
        <v>527</v>
      </c>
      <c r="F1353" s="55" t="s">
        <v>527</v>
      </c>
    </row>
    <row r="1354" spans="1:6">
      <c r="A1354" s="54">
        <v>40758</v>
      </c>
      <c r="B1354" s="55">
        <v>13.702</v>
      </c>
      <c r="C1354" s="55">
        <v>8.7759999999999998</v>
      </c>
      <c r="D1354" s="55">
        <v>12.510999999999999</v>
      </c>
      <c r="E1354" s="55" t="s">
        <v>527</v>
      </c>
      <c r="F1354" s="55" t="s">
        <v>527</v>
      </c>
    </row>
    <row r="1355" spans="1:6">
      <c r="A1355" s="54">
        <v>40759</v>
      </c>
      <c r="B1355" s="55">
        <v>13.773</v>
      </c>
      <c r="C1355" s="55">
        <v>8.8680000000000003</v>
      </c>
      <c r="D1355" s="55">
        <v>12.478999999999999</v>
      </c>
      <c r="E1355" s="55" t="s">
        <v>527</v>
      </c>
      <c r="F1355" s="55" t="s">
        <v>527</v>
      </c>
    </row>
    <row r="1356" spans="1:6">
      <c r="A1356" s="54">
        <v>40760</v>
      </c>
      <c r="B1356" s="55">
        <v>15.419</v>
      </c>
      <c r="C1356" s="55">
        <v>9.7650000000000006</v>
      </c>
      <c r="D1356" s="55">
        <v>14.116</v>
      </c>
      <c r="E1356" s="55" t="s">
        <v>527</v>
      </c>
      <c r="F1356" s="55" t="s">
        <v>527</v>
      </c>
    </row>
    <row r="1357" spans="1:6">
      <c r="A1357" s="54">
        <v>40761</v>
      </c>
      <c r="B1357" s="55">
        <v>14.887</v>
      </c>
      <c r="C1357" s="55">
        <v>9.5609999999999999</v>
      </c>
      <c r="D1357" s="55">
        <v>13.491</v>
      </c>
      <c r="E1357" s="55" t="s">
        <v>527</v>
      </c>
      <c r="F1357" s="55" t="s">
        <v>527</v>
      </c>
    </row>
    <row r="1358" spans="1:6">
      <c r="A1358" s="54">
        <v>40762</v>
      </c>
      <c r="B1358" s="55">
        <v>13.84</v>
      </c>
      <c r="C1358" s="55">
        <v>8.843</v>
      </c>
      <c r="D1358" s="55">
        <v>12.555999999999999</v>
      </c>
      <c r="E1358" s="55" t="s">
        <v>527</v>
      </c>
      <c r="F1358" s="55" t="s">
        <v>527</v>
      </c>
    </row>
    <row r="1359" spans="1:6">
      <c r="A1359" s="54">
        <v>40763</v>
      </c>
      <c r="B1359" s="55">
        <v>14.205</v>
      </c>
      <c r="C1359" s="55">
        <v>8.9109999999999996</v>
      </c>
      <c r="D1359" s="55">
        <v>12.686999999999999</v>
      </c>
      <c r="E1359" s="55" t="s">
        <v>527</v>
      </c>
      <c r="F1359" s="55" t="s">
        <v>527</v>
      </c>
    </row>
    <row r="1360" spans="1:6">
      <c r="A1360" s="54">
        <v>40764</v>
      </c>
      <c r="B1360" s="55">
        <v>13.609</v>
      </c>
      <c r="C1360" s="55">
        <v>8.7710000000000008</v>
      </c>
      <c r="D1360" s="55">
        <v>12.282999999999999</v>
      </c>
      <c r="E1360" s="55" t="s">
        <v>527</v>
      </c>
      <c r="F1360" s="55" t="s">
        <v>527</v>
      </c>
    </row>
    <row r="1361" spans="1:6">
      <c r="A1361" s="54">
        <v>40765</v>
      </c>
      <c r="B1361" s="55">
        <v>13.93</v>
      </c>
      <c r="C1361" s="55">
        <v>8.8740000000000006</v>
      </c>
      <c r="D1361" s="55">
        <v>12.699</v>
      </c>
      <c r="E1361" s="55" t="s">
        <v>527</v>
      </c>
      <c r="F1361" s="55" t="s">
        <v>527</v>
      </c>
    </row>
    <row r="1362" spans="1:6">
      <c r="A1362" s="54">
        <v>40766</v>
      </c>
      <c r="B1362" s="55">
        <v>16.701000000000001</v>
      </c>
      <c r="C1362" s="55">
        <v>11.106</v>
      </c>
      <c r="D1362" s="55">
        <v>15.37</v>
      </c>
      <c r="E1362" s="55" t="s">
        <v>527</v>
      </c>
      <c r="F1362" s="55" t="s">
        <v>527</v>
      </c>
    </row>
    <row r="1363" spans="1:6">
      <c r="A1363" s="54">
        <v>40767</v>
      </c>
      <c r="B1363" s="55">
        <v>27.911999999999999</v>
      </c>
      <c r="C1363" s="55">
        <v>19.398</v>
      </c>
      <c r="D1363" s="55">
        <v>26.445</v>
      </c>
      <c r="E1363" s="55" t="s">
        <v>527</v>
      </c>
      <c r="F1363" s="55" t="s">
        <v>527</v>
      </c>
    </row>
    <row r="1364" spans="1:6">
      <c r="A1364" s="54">
        <v>40768</v>
      </c>
      <c r="B1364" s="55">
        <v>27.308</v>
      </c>
      <c r="C1364" s="55">
        <v>18.763000000000002</v>
      </c>
      <c r="D1364" s="55">
        <v>25.876999999999999</v>
      </c>
      <c r="E1364" s="55" t="s">
        <v>527</v>
      </c>
      <c r="F1364" s="55" t="s">
        <v>527</v>
      </c>
    </row>
    <row r="1365" spans="1:6">
      <c r="A1365" s="54">
        <v>40769</v>
      </c>
      <c r="B1365" s="55">
        <v>23.404</v>
      </c>
      <c r="C1365" s="55">
        <v>15.77</v>
      </c>
      <c r="D1365" s="55">
        <v>22.036999999999999</v>
      </c>
      <c r="E1365" s="55" t="s">
        <v>527</v>
      </c>
      <c r="F1365" s="55" t="s">
        <v>527</v>
      </c>
    </row>
    <row r="1366" spans="1:6">
      <c r="A1366" s="54">
        <v>40770</v>
      </c>
      <c r="B1366" s="55">
        <v>23.876999999999999</v>
      </c>
      <c r="C1366" s="55">
        <v>16.155000000000001</v>
      </c>
      <c r="D1366" s="55">
        <v>22.428999999999998</v>
      </c>
      <c r="E1366" s="55" t="s">
        <v>527</v>
      </c>
      <c r="F1366" s="55" t="s">
        <v>527</v>
      </c>
    </row>
    <row r="1367" spans="1:6">
      <c r="A1367" s="54">
        <v>40771</v>
      </c>
      <c r="B1367" s="55">
        <v>23.36</v>
      </c>
      <c r="C1367" s="55">
        <v>15.656000000000001</v>
      </c>
      <c r="D1367" s="55">
        <v>22.062999999999999</v>
      </c>
      <c r="E1367" s="55" t="s">
        <v>527</v>
      </c>
      <c r="F1367" s="55" t="s">
        <v>527</v>
      </c>
    </row>
    <row r="1368" spans="1:6">
      <c r="A1368" s="54">
        <v>40772</v>
      </c>
      <c r="B1368" s="55">
        <v>22.620999999999999</v>
      </c>
      <c r="C1368" s="55">
        <v>15.247</v>
      </c>
      <c r="D1368" s="55">
        <v>21.314</v>
      </c>
      <c r="E1368" s="55" t="s">
        <v>527</v>
      </c>
      <c r="F1368" s="55" t="s">
        <v>527</v>
      </c>
    </row>
    <row r="1369" spans="1:6">
      <c r="A1369" s="54">
        <v>40773</v>
      </c>
      <c r="B1369" s="55">
        <v>22.151</v>
      </c>
      <c r="C1369" s="55">
        <v>15.16</v>
      </c>
      <c r="D1369" s="55">
        <v>20.988</v>
      </c>
      <c r="E1369" s="55" t="s">
        <v>527</v>
      </c>
      <c r="F1369" s="55" t="s">
        <v>527</v>
      </c>
    </row>
    <row r="1370" spans="1:6">
      <c r="A1370" s="54">
        <v>40774</v>
      </c>
      <c r="B1370" s="55">
        <v>26.558</v>
      </c>
      <c r="C1370" s="55">
        <v>18.111999999999998</v>
      </c>
      <c r="D1370" s="55">
        <v>25.259</v>
      </c>
      <c r="E1370" s="55" t="s">
        <v>527</v>
      </c>
      <c r="F1370" s="55" t="s">
        <v>527</v>
      </c>
    </row>
    <row r="1371" spans="1:6">
      <c r="A1371" s="54">
        <v>40775</v>
      </c>
      <c r="B1371" s="55">
        <v>25.004999999999999</v>
      </c>
      <c r="C1371" s="55">
        <v>16.850999999999999</v>
      </c>
      <c r="D1371" s="55">
        <v>23.623999999999999</v>
      </c>
      <c r="E1371" s="55" t="s">
        <v>527</v>
      </c>
      <c r="F1371" s="55" t="s">
        <v>527</v>
      </c>
    </row>
    <row r="1372" spans="1:6">
      <c r="A1372" s="54">
        <v>40776</v>
      </c>
      <c r="B1372" s="55">
        <v>20.908000000000001</v>
      </c>
      <c r="C1372" s="55">
        <v>14.319000000000001</v>
      </c>
      <c r="D1372" s="55">
        <v>19.622</v>
      </c>
      <c r="E1372" s="55" t="s">
        <v>527</v>
      </c>
      <c r="F1372" s="55" t="s">
        <v>527</v>
      </c>
    </row>
    <row r="1373" spans="1:6">
      <c r="A1373" s="54">
        <v>40777</v>
      </c>
      <c r="B1373" s="55">
        <v>19.977</v>
      </c>
      <c r="C1373" s="55">
        <v>13.669</v>
      </c>
      <c r="D1373" s="55">
        <v>18.756</v>
      </c>
      <c r="E1373" s="55" t="s">
        <v>527</v>
      </c>
      <c r="F1373" s="55" t="s">
        <v>527</v>
      </c>
    </row>
    <row r="1374" spans="1:6">
      <c r="A1374" s="54">
        <v>40778</v>
      </c>
      <c r="B1374" s="55">
        <v>20.010999999999999</v>
      </c>
      <c r="C1374" s="55">
        <v>13.573</v>
      </c>
      <c r="D1374" s="55">
        <v>18.844000000000001</v>
      </c>
      <c r="E1374" s="55" t="s">
        <v>527</v>
      </c>
      <c r="F1374" s="55" t="s">
        <v>527</v>
      </c>
    </row>
    <row r="1375" spans="1:6">
      <c r="A1375" s="54">
        <v>40779</v>
      </c>
      <c r="B1375" s="55">
        <v>19.79</v>
      </c>
      <c r="C1375" s="55">
        <v>13.353</v>
      </c>
      <c r="D1375" s="55">
        <v>18.584</v>
      </c>
      <c r="E1375" s="55" t="s">
        <v>527</v>
      </c>
      <c r="F1375" s="55" t="s">
        <v>527</v>
      </c>
    </row>
    <row r="1376" spans="1:6">
      <c r="A1376" s="54">
        <v>40780</v>
      </c>
      <c r="B1376" s="55">
        <v>19.831</v>
      </c>
      <c r="C1376" s="55">
        <v>13.313000000000001</v>
      </c>
      <c r="D1376" s="55">
        <v>18.454000000000001</v>
      </c>
      <c r="E1376" s="55" t="s">
        <v>527</v>
      </c>
      <c r="F1376" s="55" t="s">
        <v>527</v>
      </c>
    </row>
    <row r="1377" spans="1:6">
      <c r="A1377" s="54">
        <v>40781</v>
      </c>
      <c r="B1377" s="55">
        <v>23.876999999999999</v>
      </c>
      <c r="C1377" s="55">
        <v>16.027999999999999</v>
      </c>
      <c r="D1377" s="55">
        <v>21.954000000000001</v>
      </c>
      <c r="E1377" s="55" t="s">
        <v>527</v>
      </c>
      <c r="F1377" s="55" t="s">
        <v>527</v>
      </c>
    </row>
    <row r="1378" spans="1:6">
      <c r="A1378" s="54">
        <v>40782</v>
      </c>
      <c r="B1378" s="55">
        <v>24.765999999999998</v>
      </c>
      <c r="C1378" s="55">
        <v>16.667999999999999</v>
      </c>
      <c r="D1378" s="55">
        <v>23.193999999999999</v>
      </c>
      <c r="E1378" s="55" t="s">
        <v>527</v>
      </c>
      <c r="F1378" s="55" t="s">
        <v>527</v>
      </c>
    </row>
    <row r="1379" spans="1:6">
      <c r="A1379" s="54">
        <v>40783</v>
      </c>
      <c r="B1379" s="55">
        <v>22.055</v>
      </c>
      <c r="C1379" s="55">
        <v>14.991</v>
      </c>
      <c r="D1379" s="55">
        <v>20.658000000000001</v>
      </c>
      <c r="E1379" s="55" t="s">
        <v>527</v>
      </c>
      <c r="F1379" s="55" t="s">
        <v>527</v>
      </c>
    </row>
    <row r="1380" spans="1:6">
      <c r="A1380" s="54">
        <v>40784</v>
      </c>
      <c r="B1380" s="55">
        <v>20.692</v>
      </c>
      <c r="C1380" s="55">
        <v>14.295999999999999</v>
      </c>
      <c r="D1380" s="55">
        <v>19.462</v>
      </c>
      <c r="E1380" s="55" t="s">
        <v>527</v>
      </c>
      <c r="F1380" s="55" t="s">
        <v>527</v>
      </c>
    </row>
    <row r="1381" spans="1:6">
      <c r="A1381" s="54">
        <v>40785</v>
      </c>
      <c r="B1381" s="55">
        <v>19.167999999999999</v>
      </c>
      <c r="C1381" s="55">
        <v>13.074999999999999</v>
      </c>
      <c r="D1381" s="55">
        <v>17.981000000000002</v>
      </c>
      <c r="E1381" s="55" t="s">
        <v>527</v>
      </c>
      <c r="F1381" s="55" t="s">
        <v>527</v>
      </c>
    </row>
    <row r="1382" spans="1:6">
      <c r="A1382" s="54">
        <v>40786</v>
      </c>
      <c r="B1382" s="55">
        <v>18.545999999999999</v>
      </c>
      <c r="C1382" s="55">
        <v>12.269</v>
      </c>
      <c r="D1382" s="55">
        <v>17.456</v>
      </c>
      <c r="E1382" s="55" t="s">
        <v>527</v>
      </c>
      <c r="F1382" s="55" t="s">
        <v>527</v>
      </c>
    </row>
    <row r="1383" spans="1:6">
      <c r="A1383" s="56"/>
    </row>
    <row r="1384" spans="1:6">
      <c r="A1384" s="57" t="s">
        <v>575</v>
      </c>
    </row>
    <row r="1385" spans="1:6">
      <c r="A1385" s="57" t="s">
        <v>529</v>
      </c>
    </row>
    <row r="1386" spans="1:6" ht="18">
      <c r="A1386" s="58">
        <v>550.27499999999998</v>
      </c>
    </row>
    <row r="1387" spans="1:6">
      <c r="A1387" s="57" t="s">
        <v>531</v>
      </c>
    </row>
    <row r="1388" spans="1:6">
      <c r="A1388" s="59">
        <v>309.03699999999998</v>
      </c>
    </row>
    <row r="1389" spans="1:6">
      <c r="A1389" s="57" t="s">
        <v>533</v>
      </c>
    </row>
    <row r="1390" spans="1:6">
      <c r="A1390" s="60">
        <v>28491</v>
      </c>
    </row>
    <row r="1391" spans="1:6">
      <c r="A1391" s="61"/>
    </row>
    <row r="1392" spans="1:6" ht="30">
      <c r="A1392" s="52" t="s">
        <v>521</v>
      </c>
      <c r="B1392" s="52" t="s">
        <v>522</v>
      </c>
      <c r="C1392" s="52" t="s">
        <v>523</v>
      </c>
      <c r="D1392" s="53" t="s">
        <v>524</v>
      </c>
      <c r="E1392" s="53" t="s">
        <v>525</v>
      </c>
      <c r="F1392" s="53" t="s">
        <v>526</v>
      </c>
    </row>
    <row r="1393" spans="1:6">
      <c r="A1393" s="54">
        <v>40787</v>
      </c>
      <c r="B1393" s="55">
        <v>17.375</v>
      </c>
      <c r="C1393" s="55">
        <v>11.634</v>
      </c>
      <c r="D1393" s="55">
        <v>16.268999999999998</v>
      </c>
      <c r="E1393" s="55" t="s">
        <v>527</v>
      </c>
      <c r="F1393" s="55" t="s">
        <v>527</v>
      </c>
    </row>
    <row r="1394" spans="1:6">
      <c r="A1394" s="54">
        <v>40788</v>
      </c>
      <c r="B1394" s="55">
        <v>22.129000000000001</v>
      </c>
      <c r="C1394" s="55">
        <v>14.972</v>
      </c>
      <c r="D1394" s="55">
        <v>20.803999999999998</v>
      </c>
      <c r="E1394" s="55" t="s">
        <v>527</v>
      </c>
      <c r="F1394" s="55" t="s">
        <v>527</v>
      </c>
    </row>
    <row r="1395" spans="1:6">
      <c r="A1395" s="54">
        <v>40789</v>
      </c>
      <c r="B1395" s="55">
        <v>24.224</v>
      </c>
      <c r="C1395" s="55">
        <v>15.959</v>
      </c>
      <c r="D1395" s="55">
        <v>22.7</v>
      </c>
      <c r="E1395" s="55" t="s">
        <v>527</v>
      </c>
      <c r="F1395" s="55" t="s">
        <v>527</v>
      </c>
    </row>
    <row r="1396" spans="1:6">
      <c r="A1396" s="54">
        <v>40790</v>
      </c>
      <c r="B1396" s="55">
        <v>21.931000000000001</v>
      </c>
      <c r="C1396" s="55">
        <v>14.250999999999999</v>
      </c>
      <c r="D1396" s="55">
        <v>20.427</v>
      </c>
      <c r="E1396" s="55" t="s">
        <v>527</v>
      </c>
      <c r="F1396" s="55" t="s">
        <v>527</v>
      </c>
    </row>
    <row r="1397" spans="1:6">
      <c r="A1397" s="54">
        <v>40791</v>
      </c>
      <c r="B1397" s="55">
        <v>18.648</v>
      </c>
      <c r="C1397" s="55">
        <v>12.348000000000001</v>
      </c>
      <c r="D1397" s="55">
        <v>17.324999999999999</v>
      </c>
      <c r="E1397" s="55" t="s">
        <v>527</v>
      </c>
      <c r="F1397" s="55" t="s">
        <v>527</v>
      </c>
    </row>
    <row r="1398" spans="1:6">
      <c r="A1398" s="54">
        <v>40792</v>
      </c>
      <c r="B1398" s="55">
        <v>16.108000000000001</v>
      </c>
      <c r="C1398" s="55">
        <v>10.891</v>
      </c>
      <c r="D1398" s="55">
        <v>15.058999999999999</v>
      </c>
      <c r="E1398" s="55" t="s">
        <v>527</v>
      </c>
      <c r="F1398" s="55" t="s">
        <v>527</v>
      </c>
    </row>
    <row r="1399" spans="1:6">
      <c r="A1399" s="54">
        <v>40793</v>
      </c>
      <c r="B1399" s="55">
        <v>16.338000000000001</v>
      </c>
      <c r="C1399" s="55">
        <v>10.901</v>
      </c>
      <c r="D1399" s="55">
        <v>15.31</v>
      </c>
      <c r="E1399" s="55" t="s">
        <v>527</v>
      </c>
      <c r="F1399" s="55" t="s">
        <v>527</v>
      </c>
    </row>
    <row r="1400" spans="1:6">
      <c r="A1400" s="54">
        <v>40794</v>
      </c>
      <c r="B1400" s="55">
        <v>17.199000000000002</v>
      </c>
      <c r="C1400" s="55">
        <v>11.27</v>
      </c>
      <c r="D1400" s="55">
        <v>16.042999999999999</v>
      </c>
      <c r="E1400" s="55" t="s">
        <v>527</v>
      </c>
      <c r="F1400" s="55" t="s">
        <v>527</v>
      </c>
    </row>
    <row r="1401" spans="1:6">
      <c r="A1401" s="54">
        <v>40795</v>
      </c>
      <c r="B1401" s="55">
        <v>22.988</v>
      </c>
      <c r="C1401" s="55">
        <v>14.83</v>
      </c>
      <c r="D1401" s="55">
        <v>21.571000000000002</v>
      </c>
      <c r="E1401" s="55" t="s">
        <v>527</v>
      </c>
      <c r="F1401" s="55" t="s">
        <v>527</v>
      </c>
    </row>
    <row r="1402" spans="1:6">
      <c r="A1402" s="54">
        <v>40796</v>
      </c>
      <c r="B1402" s="55">
        <v>27.992000000000001</v>
      </c>
      <c r="C1402" s="55">
        <v>18.192</v>
      </c>
      <c r="D1402" s="55">
        <v>26.375</v>
      </c>
      <c r="E1402" s="55" t="s">
        <v>527</v>
      </c>
      <c r="F1402" s="55" t="s">
        <v>527</v>
      </c>
    </row>
    <row r="1403" spans="1:6">
      <c r="A1403" s="54">
        <v>40797</v>
      </c>
      <c r="B1403" s="55">
        <v>21.733000000000001</v>
      </c>
      <c r="C1403" s="55">
        <v>13.87</v>
      </c>
      <c r="D1403" s="55">
        <v>20.227</v>
      </c>
      <c r="E1403" s="55" t="s">
        <v>527</v>
      </c>
      <c r="F1403" s="55" t="s">
        <v>527</v>
      </c>
    </row>
    <row r="1404" spans="1:6">
      <c r="A1404" s="54">
        <v>40798</v>
      </c>
      <c r="B1404" s="55">
        <v>16.218</v>
      </c>
      <c r="C1404" s="55">
        <v>10.898</v>
      </c>
      <c r="D1404" s="55">
        <v>15.224</v>
      </c>
      <c r="E1404" s="55" t="s">
        <v>527</v>
      </c>
      <c r="F1404" s="55" t="s">
        <v>527</v>
      </c>
    </row>
    <row r="1405" spans="1:6">
      <c r="A1405" s="54">
        <v>40799</v>
      </c>
      <c r="B1405" s="55">
        <v>15.14</v>
      </c>
      <c r="C1405" s="55">
        <v>10.097</v>
      </c>
      <c r="D1405" s="55">
        <v>14.237</v>
      </c>
      <c r="E1405" s="55" t="s">
        <v>527</v>
      </c>
      <c r="F1405" s="55" t="s">
        <v>527</v>
      </c>
    </row>
    <row r="1406" spans="1:6">
      <c r="A1406" s="54">
        <v>40800</v>
      </c>
      <c r="B1406" s="55">
        <v>16.992000000000001</v>
      </c>
      <c r="C1406" s="55">
        <v>11.182</v>
      </c>
      <c r="D1406" s="55">
        <v>16.042000000000002</v>
      </c>
      <c r="E1406" s="55" t="s">
        <v>527</v>
      </c>
      <c r="F1406" s="55" t="s">
        <v>527</v>
      </c>
    </row>
    <row r="1407" spans="1:6">
      <c r="A1407" s="54">
        <v>40801</v>
      </c>
      <c r="B1407" s="55">
        <v>18</v>
      </c>
      <c r="C1407" s="55">
        <v>11.757</v>
      </c>
      <c r="D1407" s="55">
        <v>16.823</v>
      </c>
      <c r="E1407" s="55" t="s">
        <v>527</v>
      </c>
      <c r="F1407" s="55" t="s">
        <v>527</v>
      </c>
    </row>
    <row r="1408" spans="1:6">
      <c r="A1408" s="54">
        <v>40802</v>
      </c>
      <c r="B1408" s="55">
        <v>24.605</v>
      </c>
      <c r="C1408" s="55">
        <v>16.359000000000002</v>
      </c>
      <c r="D1408" s="55">
        <v>23.324999999999999</v>
      </c>
      <c r="E1408" s="55" t="s">
        <v>527</v>
      </c>
      <c r="F1408" s="55" t="s">
        <v>527</v>
      </c>
    </row>
    <row r="1409" spans="1:6">
      <c r="A1409" s="54">
        <v>40803</v>
      </c>
      <c r="B1409" s="55">
        <v>29.571999999999999</v>
      </c>
      <c r="C1409" s="55">
        <v>18.626999999999999</v>
      </c>
      <c r="D1409" s="55">
        <v>27.696000000000002</v>
      </c>
      <c r="E1409" s="55" t="s">
        <v>527</v>
      </c>
      <c r="F1409" s="55" t="s">
        <v>527</v>
      </c>
    </row>
    <row r="1410" spans="1:6">
      <c r="A1410" s="54">
        <v>40804</v>
      </c>
      <c r="B1410" s="55">
        <v>20.751000000000001</v>
      </c>
      <c r="C1410" s="55">
        <v>13.138</v>
      </c>
      <c r="D1410" s="55">
        <v>19.327999999999999</v>
      </c>
      <c r="E1410" s="55" t="s">
        <v>527</v>
      </c>
      <c r="F1410" s="55" t="s">
        <v>527</v>
      </c>
    </row>
    <row r="1411" spans="1:6">
      <c r="A1411" s="54">
        <v>40805</v>
      </c>
      <c r="B1411" s="55">
        <v>14.781000000000001</v>
      </c>
      <c r="C1411" s="55">
        <v>9.8079999999999998</v>
      </c>
      <c r="D1411" s="55">
        <v>13.789</v>
      </c>
      <c r="E1411" s="55" t="s">
        <v>527</v>
      </c>
      <c r="F1411" s="55" t="s">
        <v>527</v>
      </c>
    </row>
    <row r="1412" spans="1:6">
      <c r="A1412" s="54">
        <v>40806</v>
      </c>
      <c r="B1412" s="55">
        <v>15.847</v>
      </c>
      <c r="C1412" s="55">
        <v>10.355</v>
      </c>
      <c r="D1412" s="55">
        <v>14.446</v>
      </c>
      <c r="E1412" s="55" t="s">
        <v>527</v>
      </c>
      <c r="F1412" s="55" t="s">
        <v>527</v>
      </c>
    </row>
    <row r="1413" spans="1:6">
      <c r="A1413" s="54">
        <v>40807</v>
      </c>
      <c r="B1413" s="55">
        <v>15.477</v>
      </c>
      <c r="C1413" s="55">
        <v>10.302</v>
      </c>
      <c r="D1413" s="55">
        <v>14.41</v>
      </c>
      <c r="E1413" s="55" t="s">
        <v>527</v>
      </c>
      <c r="F1413" s="55" t="s">
        <v>527</v>
      </c>
    </row>
    <row r="1414" spans="1:6">
      <c r="A1414" s="54">
        <v>40808</v>
      </c>
      <c r="B1414" s="55">
        <v>16.193999999999999</v>
      </c>
      <c r="C1414" s="55">
        <v>10.635</v>
      </c>
      <c r="D1414" s="55">
        <v>15.052</v>
      </c>
      <c r="E1414" s="55" t="s">
        <v>527</v>
      </c>
      <c r="F1414" s="55" t="s">
        <v>527</v>
      </c>
    </row>
    <row r="1415" spans="1:6">
      <c r="A1415" s="54">
        <v>40809</v>
      </c>
      <c r="B1415" s="55">
        <v>23.832000000000001</v>
      </c>
      <c r="C1415" s="55">
        <v>15.551</v>
      </c>
      <c r="D1415" s="55">
        <v>22.366</v>
      </c>
      <c r="E1415" s="55" t="s">
        <v>527</v>
      </c>
      <c r="F1415" s="55" t="s">
        <v>527</v>
      </c>
    </row>
    <row r="1416" spans="1:6">
      <c r="A1416" s="54">
        <v>40810</v>
      </c>
      <c r="B1416" s="55">
        <v>27.004999999999999</v>
      </c>
      <c r="C1416" s="55">
        <v>16.922000000000001</v>
      </c>
      <c r="D1416" s="55">
        <v>25.306000000000001</v>
      </c>
      <c r="E1416" s="55" t="s">
        <v>527</v>
      </c>
      <c r="F1416" s="55" t="s">
        <v>527</v>
      </c>
    </row>
    <row r="1417" spans="1:6">
      <c r="A1417" s="54">
        <v>40811</v>
      </c>
      <c r="B1417" s="55">
        <v>19.771999999999998</v>
      </c>
      <c r="C1417" s="55">
        <v>12.420999999999999</v>
      </c>
      <c r="D1417" s="55">
        <v>18.280999999999999</v>
      </c>
      <c r="E1417" s="55" t="s">
        <v>527</v>
      </c>
      <c r="F1417" s="55" t="s">
        <v>527</v>
      </c>
    </row>
    <row r="1418" spans="1:6">
      <c r="A1418" s="54">
        <v>40812</v>
      </c>
      <c r="B1418" s="55">
        <v>14.819000000000001</v>
      </c>
      <c r="C1418" s="55">
        <v>9.6319999999999997</v>
      </c>
      <c r="D1418" s="55">
        <v>13.863</v>
      </c>
      <c r="E1418" s="55" t="s">
        <v>527</v>
      </c>
      <c r="F1418" s="55" t="s">
        <v>527</v>
      </c>
    </row>
    <row r="1419" spans="1:6">
      <c r="A1419" s="54">
        <v>40813</v>
      </c>
      <c r="B1419" s="55">
        <v>15.391999999999999</v>
      </c>
      <c r="C1419" s="55">
        <v>9.9700000000000006</v>
      </c>
      <c r="D1419" s="55">
        <v>14.394</v>
      </c>
      <c r="E1419" s="55" t="s">
        <v>527</v>
      </c>
      <c r="F1419" s="55" t="s">
        <v>527</v>
      </c>
    </row>
    <row r="1420" spans="1:6">
      <c r="A1420" s="54">
        <v>40814</v>
      </c>
      <c r="B1420" s="55">
        <v>16.047000000000001</v>
      </c>
      <c r="C1420" s="55">
        <v>10.486000000000001</v>
      </c>
      <c r="D1420" s="55">
        <v>15.05</v>
      </c>
      <c r="E1420" s="55" t="s">
        <v>527</v>
      </c>
      <c r="F1420" s="55" t="s">
        <v>527</v>
      </c>
    </row>
    <row r="1421" spans="1:6">
      <c r="A1421" s="54">
        <v>40815</v>
      </c>
      <c r="B1421" s="55">
        <v>17.282</v>
      </c>
      <c r="C1421" s="55">
        <v>11.255000000000001</v>
      </c>
      <c r="D1421" s="55">
        <v>16.212</v>
      </c>
      <c r="E1421" s="55" t="s">
        <v>527</v>
      </c>
      <c r="F1421" s="55" t="s">
        <v>527</v>
      </c>
    </row>
    <row r="1422" spans="1:6">
      <c r="A1422" s="54">
        <v>40816</v>
      </c>
      <c r="B1422" s="55">
        <v>23.611999999999998</v>
      </c>
      <c r="C1422" s="55">
        <v>15.064</v>
      </c>
      <c r="D1422" s="55">
        <v>22.321000000000002</v>
      </c>
      <c r="E1422" s="55" t="s">
        <v>527</v>
      </c>
      <c r="F1422" s="55" t="s">
        <v>527</v>
      </c>
    </row>
    <row r="1423" spans="1:6">
      <c r="A1423" s="56"/>
    </row>
    <row r="1424" spans="1:6">
      <c r="A1424" s="57" t="s">
        <v>576</v>
      </c>
    </row>
    <row r="1425" spans="1:6">
      <c r="A1425" s="57" t="s">
        <v>529</v>
      </c>
    </row>
    <row r="1426" spans="1:6" ht="18">
      <c r="A1426" s="58">
        <v>399.935</v>
      </c>
    </row>
    <row r="1427" spans="1:6">
      <c r="A1427" s="57" t="s">
        <v>531</v>
      </c>
    </row>
    <row r="1428" spans="1:6">
      <c r="A1428" s="59">
        <v>218.334</v>
      </c>
    </row>
    <row r="1429" spans="1:6">
      <c r="A1429" s="57" t="s">
        <v>533</v>
      </c>
    </row>
    <row r="1430" spans="1:6">
      <c r="A1430" s="60">
        <v>30317</v>
      </c>
    </row>
    <row r="1431" spans="1:6">
      <c r="A1431" s="61"/>
    </row>
    <row r="1432" spans="1:6" ht="30">
      <c r="A1432" s="52" t="s">
        <v>521</v>
      </c>
      <c r="B1432" s="52" t="s">
        <v>522</v>
      </c>
      <c r="C1432" s="52" t="s">
        <v>523</v>
      </c>
      <c r="D1432" s="53" t="s">
        <v>524</v>
      </c>
      <c r="E1432" s="53" t="s">
        <v>525</v>
      </c>
      <c r="F1432" s="53" t="s">
        <v>526</v>
      </c>
    </row>
    <row r="1433" spans="1:6">
      <c r="A1433" s="54">
        <v>40817</v>
      </c>
      <c r="B1433" s="55">
        <v>25.669</v>
      </c>
      <c r="C1433" s="55">
        <v>15.837</v>
      </c>
      <c r="D1433" s="55">
        <v>24.065999999999999</v>
      </c>
      <c r="E1433" s="55" t="s">
        <v>527</v>
      </c>
      <c r="F1433" s="55" t="s">
        <v>527</v>
      </c>
    </row>
    <row r="1434" spans="1:6">
      <c r="A1434" s="54">
        <v>40818</v>
      </c>
      <c r="B1434" s="55">
        <v>19.818000000000001</v>
      </c>
      <c r="C1434" s="55">
        <v>12.169</v>
      </c>
      <c r="D1434" s="55">
        <v>18.442</v>
      </c>
      <c r="E1434" s="55" t="s">
        <v>527</v>
      </c>
      <c r="F1434" s="55" t="s">
        <v>527</v>
      </c>
    </row>
    <row r="1435" spans="1:6">
      <c r="A1435" s="54">
        <v>40819</v>
      </c>
      <c r="B1435" s="55">
        <v>14.882999999999999</v>
      </c>
      <c r="C1435" s="55">
        <v>9.6880000000000006</v>
      </c>
      <c r="D1435" s="55">
        <v>13.968999999999999</v>
      </c>
      <c r="E1435" s="55" t="s">
        <v>527</v>
      </c>
      <c r="F1435" s="55" t="s">
        <v>527</v>
      </c>
    </row>
    <row r="1436" spans="1:6">
      <c r="A1436" s="54">
        <v>40820</v>
      </c>
      <c r="B1436" s="55">
        <v>12.095000000000001</v>
      </c>
      <c r="C1436" s="55">
        <v>7.8319999999999999</v>
      </c>
      <c r="D1436" s="55">
        <v>11.246</v>
      </c>
      <c r="E1436" s="55" t="s">
        <v>527</v>
      </c>
      <c r="F1436" s="55" t="s">
        <v>527</v>
      </c>
    </row>
    <row r="1437" spans="1:6">
      <c r="A1437" s="54">
        <v>40821</v>
      </c>
      <c r="B1437" s="55">
        <v>12.089</v>
      </c>
      <c r="C1437" s="55">
        <v>7.7809999999999997</v>
      </c>
      <c r="D1437" s="55">
        <v>11.129</v>
      </c>
      <c r="E1437" s="55" t="s">
        <v>527</v>
      </c>
      <c r="F1437" s="55" t="s">
        <v>527</v>
      </c>
    </row>
    <row r="1438" spans="1:6">
      <c r="A1438" s="54">
        <v>40822</v>
      </c>
      <c r="B1438" s="55">
        <v>11.742000000000001</v>
      </c>
      <c r="C1438" s="55">
        <v>7.7240000000000002</v>
      </c>
      <c r="D1438" s="55">
        <v>10.872</v>
      </c>
      <c r="E1438" s="55" t="s">
        <v>527</v>
      </c>
      <c r="F1438" s="55" t="s">
        <v>527</v>
      </c>
    </row>
    <row r="1439" spans="1:6">
      <c r="A1439" s="54">
        <v>40823</v>
      </c>
      <c r="B1439" s="55">
        <v>15.708</v>
      </c>
      <c r="C1439" s="55">
        <v>10.253</v>
      </c>
      <c r="D1439" s="55">
        <v>14.538</v>
      </c>
      <c r="E1439" s="55" t="s">
        <v>527</v>
      </c>
      <c r="F1439" s="55" t="s">
        <v>527</v>
      </c>
    </row>
    <row r="1440" spans="1:6">
      <c r="A1440" s="54">
        <v>40824</v>
      </c>
      <c r="B1440" s="55">
        <v>18.433</v>
      </c>
      <c r="C1440" s="55">
        <v>11.574999999999999</v>
      </c>
      <c r="D1440" s="55">
        <v>16.835000000000001</v>
      </c>
      <c r="E1440" s="55" t="s">
        <v>527</v>
      </c>
      <c r="F1440" s="55" t="s">
        <v>527</v>
      </c>
    </row>
    <row r="1441" spans="1:6">
      <c r="A1441" s="54">
        <v>40825</v>
      </c>
      <c r="B1441" s="55">
        <v>15.504</v>
      </c>
      <c r="C1441" s="55">
        <v>9.5500000000000007</v>
      </c>
      <c r="D1441" s="55">
        <v>14.183999999999999</v>
      </c>
      <c r="E1441" s="55" t="s">
        <v>527</v>
      </c>
      <c r="F1441" s="55" t="s">
        <v>527</v>
      </c>
    </row>
    <row r="1442" spans="1:6">
      <c r="A1442" s="54">
        <v>40826</v>
      </c>
      <c r="B1442" s="55">
        <v>12.456</v>
      </c>
      <c r="C1442" s="55">
        <v>8.016</v>
      </c>
      <c r="D1442" s="55">
        <v>11.366</v>
      </c>
      <c r="E1442" s="55" t="s">
        <v>527</v>
      </c>
      <c r="F1442" s="55" t="s">
        <v>527</v>
      </c>
    </row>
    <row r="1443" spans="1:6">
      <c r="A1443" s="54">
        <v>40827</v>
      </c>
      <c r="B1443" s="55">
        <v>11.429</v>
      </c>
      <c r="C1443" s="55">
        <v>7.5369999999999999</v>
      </c>
      <c r="D1443" s="55">
        <v>10.468</v>
      </c>
      <c r="E1443" s="55" t="s">
        <v>527</v>
      </c>
      <c r="F1443" s="55" t="s">
        <v>527</v>
      </c>
    </row>
    <row r="1444" spans="1:6">
      <c r="A1444" s="54">
        <v>40828</v>
      </c>
      <c r="B1444" s="55">
        <v>11.691000000000001</v>
      </c>
      <c r="C1444" s="55">
        <v>7.774</v>
      </c>
      <c r="D1444" s="55">
        <v>10.734999999999999</v>
      </c>
      <c r="E1444" s="55" t="s">
        <v>527</v>
      </c>
      <c r="F1444" s="55" t="s">
        <v>527</v>
      </c>
    </row>
    <row r="1445" spans="1:6">
      <c r="A1445" s="54">
        <v>40829</v>
      </c>
      <c r="B1445" s="55">
        <v>11.343999999999999</v>
      </c>
      <c r="C1445" s="55">
        <v>7.5129999999999999</v>
      </c>
      <c r="D1445" s="55">
        <v>10.448</v>
      </c>
      <c r="E1445" s="55" t="s">
        <v>527</v>
      </c>
      <c r="F1445" s="55" t="s">
        <v>527</v>
      </c>
    </row>
    <row r="1446" spans="1:6">
      <c r="A1446" s="54">
        <v>40830</v>
      </c>
      <c r="B1446" s="55">
        <v>15.256</v>
      </c>
      <c r="C1446" s="55">
        <v>9.9179999999999993</v>
      </c>
      <c r="D1446" s="55">
        <v>14.05</v>
      </c>
      <c r="E1446" s="55" t="s">
        <v>527</v>
      </c>
      <c r="F1446" s="55" t="s">
        <v>527</v>
      </c>
    </row>
    <row r="1447" spans="1:6">
      <c r="A1447" s="54">
        <v>40831</v>
      </c>
      <c r="B1447" s="55">
        <v>17.661000000000001</v>
      </c>
      <c r="C1447" s="55">
        <v>11.151</v>
      </c>
      <c r="D1447" s="55">
        <v>16.294</v>
      </c>
      <c r="E1447" s="55" t="s">
        <v>527</v>
      </c>
      <c r="F1447" s="55" t="s">
        <v>527</v>
      </c>
    </row>
    <row r="1448" spans="1:6">
      <c r="A1448" s="54">
        <v>40832</v>
      </c>
      <c r="B1448" s="55">
        <v>13.901999999999999</v>
      </c>
      <c r="C1448" s="55">
        <v>8.5640000000000001</v>
      </c>
      <c r="D1448" s="55">
        <v>12.592000000000001</v>
      </c>
      <c r="E1448" s="55" t="s">
        <v>527</v>
      </c>
      <c r="F1448" s="55" t="s">
        <v>527</v>
      </c>
    </row>
    <row r="1449" spans="1:6">
      <c r="A1449" s="54">
        <v>40833</v>
      </c>
      <c r="B1449" s="55">
        <v>10.37</v>
      </c>
      <c r="C1449" s="55">
        <v>6.8360000000000003</v>
      </c>
      <c r="D1449" s="55">
        <v>9.4659999999999993</v>
      </c>
      <c r="E1449" s="55" t="s">
        <v>527</v>
      </c>
      <c r="F1449" s="55" t="s">
        <v>527</v>
      </c>
    </row>
    <row r="1450" spans="1:6">
      <c r="A1450" s="54">
        <v>40834</v>
      </c>
      <c r="B1450" s="55">
        <v>10.670999999999999</v>
      </c>
      <c r="C1450" s="55">
        <v>6.9880000000000004</v>
      </c>
      <c r="D1450" s="55">
        <v>9.7550000000000008</v>
      </c>
      <c r="E1450" s="55" t="s">
        <v>527</v>
      </c>
      <c r="F1450" s="55" t="s">
        <v>527</v>
      </c>
    </row>
    <row r="1451" spans="1:6">
      <c r="A1451" s="54">
        <v>40835</v>
      </c>
      <c r="B1451" s="55">
        <v>11.614000000000001</v>
      </c>
      <c r="C1451" s="55">
        <v>7.5229999999999997</v>
      </c>
      <c r="D1451" s="55">
        <v>10.576000000000001</v>
      </c>
      <c r="E1451" s="55" t="s">
        <v>527</v>
      </c>
      <c r="F1451" s="55" t="s">
        <v>527</v>
      </c>
    </row>
    <row r="1452" spans="1:6">
      <c r="A1452" s="54">
        <v>40836</v>
      </c>
      <c r="B1452" s="55">
        <v>11.78</v>
      </c>
      <c r="C1452" s="55">
        <v>7.6630000000000003</v>
      </c>
      <c r="D1452" s="55">
        <v>10.724</v>
      </c>
      <c r="E1452" s="55" t="s">
        <v>527</v>
      </c>
      <c r="F1452" s="55" t="s">
        <v>527</v>
      </c>
    </row>
    <row r="1453" spans="1:6">
      <c r="A1453" s="54">
        <v>40837</v>
      </c>
      <c r="B1453" s="55">
        <v>15.494999999999999</v>
      </c>
      <c r="C1453" s="55">
        <v>9.9440000000000008</v>
      </c>
      <c r="D1453" s="55">
        <v>13.96</v>
      </c>
      <c r="E1453" s="55" t="s">
        <v>527</v>
      </c>
      <c r="F1453" s="55" t="s">
        <v>527</v>
      </c>
    </row>
    <row r="1454" spans="1:6">
      <c r="A1454" s="54">
        <v>40838</v>
      </c>
      <c r="B1454" s="55">
        <v>17.390999999999998</v>
      </c>
      <c r="C1454" s="55">
        <v>10.723000000000001</v>
      </c>
      <c r="D1454" s="55">
        <v>15.807</v>
      </c>
      <c r="E1454" s="55" t="s">
        <v>527</v>
      </c>
      <c r="F1454" s="55" t="s">
        <v>527</v>
      </c>
    </row>
    <row r="1455" spans="1:6">
      <c r="A1455" s="54">
        <v>40839</v>
      </c>
      <c r="B1455" s="55">
        <v>14.125</v>
      </c>
      <c r="C1455" s="55">
        <v>8.7919999999999998</v>
      </c>
      <c r="D1455" s="55">
        <v>12.771000000000001</v>
      </c>
      <c r="E1455" s="55" t="s">
        <v>527</v>
      </c>
      <c r="F1455" s="55" t="s">
        <v>527</v>
      </c>
    </row>
    <row r="1456" spans="1:6">
      <c r="A1456" s="54">
        <v>40840</v>
      </c>
      <c r="B1456" s="55">
        <v>11.1</v>
      </c>
      <c r="C1456" s="55">
        <v>7.2130000000000001</v>
      </c>
      <c r="D1456" s="55">
        <v>10.063000000000001</v>
      </c>
      <c r="E1456" s="55" t="s">
        <v>527</v>
      </c>
      <c r="F1456" s="55" t="s">
        <v>527</v>
      </c>
    </row>
    <row r="1457" spans="1:6">
      <c r="A1457" s="54">
        <v>40841</v>
      </c>
      <c r="B1457" s="55">
        <v>11.67</v>
      </c>
      <c r="C1457" s="55">
        <v>7.6280000000000001</v>
      </c>
      <c r="D1457" s="55">
        <v>10.648999999999999</v>
      </c>
      <c r="E1457" s="55" t="s">
        <v>527</v>
      </c>
      <c r="F1457" s="55" t="s">
        <v>527</v>
      </c>
    </row>
    <row r="1458" spans="1:6">
      <c r="A1458" s="54">
        <v>40842</v>
      </c>
      <c r="B1458" s="55">
        <v>11.94</v>
      </c>
      <c r="C1458" s="55">
        <v>7.726</v>
      </c>
      <c r="D1458" s="55">
        <v>10.92</v>
      </c>
      <c r="E1458" s="55" t="s">
        <v>527</v>
      </c>
      <c r="F1458" s="55" t="s">
        <v>527</v>
      </c>
    </row>
    <row r="1459" spans="1:6">
      <c r="A1459" s="54">
        <v>40843</v>
      </c>
      <c r="B1459" s="55">
        <v>12.055</v>
      </c>
      <c r="C1459" s="55">
        <v>7.883</v>
      </c>
      <c r="D1459" s="55">
        <v>11.013</v>
      </c>
      <c r="E1459" s="55" t="s">
        <v>527</v>
      </c>
      <c r="F1459" s="55" t="s">
        <v>527</v>
      </c>
    </row>
    <row r="1460" spans="1:6">
      <c r="A1460" s="54">
        <v>40844</v>
      </c>
      <c r="B1460" s="55">
        <v>15.497</v>
      </c>
      <c r="C1460" s="55">
        <v>10.083</v>
      </c>
      <c r="D1460" s="55">
        <v>14.18</v>
      </c>
      <c r="E1460" s="55" t="s">
        <v>527</v>
      </c>
      <c r="F1460" s="55" t="s">
        <v>527</v>
      </c>
    </row>
    <row r="1461" spans="1:6">
      <c r="A1461" s="54">
        <v>40845</v>
      </c>
      <c r="B1461" s="55">
        <v>17.100000000000001</v>
      </c>
      <c r="C1461" s="55">
        <v>10.733000000000001</v>
      </c>
      <c r="D1461" s="55">
        <v>15.7</v>
      </c>
      <c r="E1461" s="55" t="s">
        <v>527</v>
      </c>
      <c r="F1461" s="55" t="s">
        <v>527</v>
      </c>
    </row>
    <row r="1462" spans="1:6">
      <c r="A1462" s="54">
        <v>40846</v>
      </c>
      <c r="B1462" s="55">
        <v>14.176</v>
      </c>
      <c r="C1462" s="55">
        <v>8.8330000000000002</v>
      </c>
      <c r="D1462" s="55">
        <v>13.023999999999999</v>
      </c>
      <c r="E1462" s="55" t="s">
        <v>527</v>
      </c>
      <c r="F1462" s="55" t="s">
        <v>527</v>
      </c>
    </row>
    <row r="1463" spans="1:6">
      <c r="A1463" s="54">
        <v>40847</v>
      </c>
      <c r="B1463" s="55">
        <v>11.067</v>
      </c>
      <c r="C1463" s="55">
        <v>7.282</v>
      </c>
      <c r="D1463" s="55">
        <v>10.093</v>
      </c>
      <c r="E1463" s="55" t="s">
        <v>527</v>
      </c>
      <c r="F1463" s="55" t="s">
        <v>527</v>
      </c>
    </row>
    <row r="1464" spans="1:6">
      <c r="A1464" s="56"/>
    </row>
    <row r="1465" spans="1:6">
      <c r="A1465" s="57" t="s">
        <v>577</v>
      </c>
    </row>
    <row r="1466" spans="1:6">
      <c r="A1466" s="57" t="s">
        <v>529</v>
      </c>
    </row>
    <row r="1467" spans="1:6" ht="18">
      <c r="A1467" s="58">
        <v>348.61099999999999</v>
      </c>
    </row>
    <row r="1468" spans="1:6">
      <c r="A1468" s="57" t="s">
        <v>531</v>
      </c>
    </row>
    <row r="1469" spans="1:6">
      <c r="A1469" s="59">
        <v>194.36</v>
      </c>
    </row>
    <row r="1470" spans="1:6">
      <c r="A1470" s="57" t="s">
        <v>533</v>
      </c>
    </row>
    <row r="1471" spans="1:6">
      <c r="A1471" s="60">
        <v>28856</v>
      </c>
    </row>
    <row r="1472" spans="1:6">
      <c r="A1472" s="61"/>
    </row>
    <row r="1473" spans="1:6" ht="30">
      <c r="A1473" s="52" t="s">
        <v>521</v>
      </c>
      <c r="B1473" s="52" t="s">
        <v>522</v>
      </c>
      <c r="C1473" s="52" t="s">
        <v>523</v>
      </c>
      <c r="D1473" s="53" t="s">
        <v>524</v>
      </c>
      <c r="E1473" s="53" t="s">
        <v>525</v>
      </c>
      <c r="F1473" s="53" t="s">
        <v>526</v>
      </c>
    </row>
    <row r="1474" spans="1:6">
      <c r="A1474" s="54">
        <v>40848</v>
      </c>
      <c r="B1474" s="55">
        <v>11.154999999999999</v>
      </c>
      <c r="C1474" s="55">
        <v>7.2770000000000001</v>
      </c>
      <c r="D1474" s="55">
        <v>10.202999999999999</v>
      </c>
      <c r="E1474" s="55" t="s">
        <v>527</v>
      </c>
      <c r="F1474" s="55" t="s">
        <v>527</v>
      </c>
    </row>
    <row r="1475" spans="1:6">
      <c r="A1475" s="54">
        <v>40849</v>
      </c>
      <c r="B1475" s="55">
        <v>11.144</v>
      </c>
      <c r="C1475" s="55">
        <v>7.2060000000000004</v>
      </c>
      <c r="D1475" s="55">
        <v>10.183</v>
      </c>
      <c r="E1475" s="55" t="s">
        <v>527</v>
      </c>
      <c r="F1475" s="55" t="s">
        <v>527</v>
      </c>
    </row>
    <row r="1476" spans="1:6">
      <c r="A1476" s="54">
        <v>40850</v>
      </c>
      <c r="B1476" s="55">
        <v>11.167</v>
      </c>
      <c r="C1476" s="55">
        <v>7.2619999999999996</v>
      </c>
      <c r="D1476" s="55">
        <v>10.201000000000001</v>
      </c>
      <c r="E1476" s="55" t="s">
        <v>527</v>
      </c>
      <c r="F1476" s="55" t="s">
        <v>527</v>
      </c>
    </row>
    <row r="1477" spans="1:6">
      <c r="A1477" s="54">
        <v>40851</v>
      </c>
      <c r="B1477" s="55">
        <v>15.295999999999999</v>
      </c>
      <c r="C1477" s="55">
        <v>10.052</v>
      </c>
      <c r="D1477" s="55">
        <v>13.997999999999999</v>
      </c>
      <c r="E1477" s="55" t="s">
        <v>527</v>
      </c>
      <c r="F1477" s="55" t="s">
        <v>527</v>
      </c>
    </row>
    <row r="1478" spans="1:6">
      <c r="A1478" s="54">
        <v>40852</v>
      </c>
      <c r="B1478" s="55">
        <v>18.001999999999999</v>
      </c>
      <c r="C1478" s="55">
        <v>11.279</v>
      </c>
      <c r="D1478" s="55">
        <v>16.373000000000001</v>
      </c>
      <c r="E1478" s="55" t="s">
        <v>527</v>
      </c>
      <c r="F1478" s="55" t="s">
        <v>527</v>
      </c>
    </row>
    <row r="1479" spans="1:6">
      <c r="A1479" s="54">
        <v>40853</v>
      </c>
      <c r="B1479" s="55">
        <v>15.276</v>
      </c>
      <c r="C1479" s="55">
        <v>9.3640000000000008</v>
      </c>
      <c r="D1479" s="55">
        <v>13.942</v>
      </c>
      <c r="E1479" s="55" t="s">
        <v>527</v>
      </c>
      <c r="F1479" s="55" t="s">
        <v>527</v>
      </c>
    </row>
    <row r="1480" spans="1:6">
      <c r="A1480" s="54">
        <v>40854</v>
      </c>
      <c r="B1480" s="55">
        <v>11.086</v>
      </c>
      <c r="C1480" s="55">
        <v>7.109</v>
      </c>
      <c r="D1480" s="55">
        <v>10.053000000000001</v>
      </c>
      <c r="E1480" s="55" t="s">
        <v>527</v>
      </c>
      <c r="F1480" s="55" t="s">
        <v>527</v>
      </c>
    </row>
    <row r="1481" spans="1:6">
      <c r="A1481" s="54">
        <v>40855</v>
      </c>
      <c r="B1481" s="55">
        <v>10.737</v>
      </c>
      <c r="C1481" s="55">
        <v>7.1310000000000002</v>
      </c>
      <c r="D1481" s="55">
        <v>9.7309999999999999</v>
      </c>
      <c r="E1481" s="55" t="s">
        <v>527</v>
      </c>
      <c r="F1481" s="55" t="s">
        <v>527</v>
      </c>
    </row>
    <row r="1482" spans="1:6">
      <c r="A1482" s="54">
        <v>40856</v>
      </c>
      <c r="B1482" s="55">
        <v>11.441000000000001</v>
      </c>
      <c r="C1482" s="55">
        <v>7.3520000000000003</v>
      </c>
      <c r="D1482" s="55">
        <v>10.519</v>
      </c>
      <c r="E1482" s="55" t="s">
        <v>527</v>
      </c>
      <c r="F1482" s="55" t="s">
        <v>527</v>
      </c>
    </row>
    <row r="1483" spans="1:6">
      <c r="A1483" s="54">
        <v>40857</v>
      </c>
      <c r="B1483" s="55">
        <v>11.058</v>
      </c>
      <c r="C1483" s="55">
        <v>7.3490000000000002</v>
      </c>
      <c r="D1483" s="55">
        <v>10.016</v>
      </c>
      <c r="E1483" s="55" t="s">
        <v>527</v>
      </c>
      <c r="F1483" s="55" t="s">
        <v>527</v>
      </c>
    </row>
    <row r="1484" spans="1:6">
      <c r="A1484" s="54">
        <v>40858</v>
      </c>
      <c r="B1484" s="55">
        <v>15.727</v>
      </c>
      <c r="C1484" s="55">
        <v>10.086</v>
      </c>
      <c r="D1484" s="55">
        <v>14.364000000000001</v>
      </c>
      <c r="E1484" s="55" t="s">
        <v>527</v>
      </c>
      <c r="F1484" s="55" t="s">
        <v>527</v>
      </c>
    </row>
    <row r="1485" spans="1:6">
      <c r="A1485" s="54">
        <v>40859</v>
      </c>
      <c r="B1485" s="55">
        <v>17.948</v>
      </c>
      <c r="C1485" s="55">
        <v>11.138999999999999</v>
      </c>
      <c r="D1485" s="55">
        <v>16.434999999999999</v>
      </c>
      <c r="E1485" s="55" t="s">
        <v>527</v>
      </c>
      <c r="F1485" s="55" t="s">
        <v>527</v>
      </c>
    </row>
    <row r="1486" spans="1:6">
      <c r="A1486" s="54">
        <v>40860</v>
      </c>
      <c r="B1486" s="55">
        <v>13.788</v>
      </c>
      <c r="C1486" s="55">
        <v>8.673</v>
      </c>
      <c r="D1486" s="55">
        <v>12.526</v>
      </c>
      <c r="E1486" s="55" t="s">
        <v>527</v>
      </c>
      <c r="F1486" s="55" t="s">
        <v>527</v>
      </c>
    </row>
    <row r="1487" spans="1:6">
      <c r="A1487" s="54">
        <v>40861</v>
      </c>
      <c r="B1487" s="55">
        <v>9.9629999999999992</v>
      </c>
      <c r="C1487" s="55">
        <v>6.6050000000000004</v>
      </c>
      <c r="D1487" s="55">
        <v>9.0649999999999995</v>
      </c>
      <c r="E1487" s="55" t="s">
        <v>527</v>
      </c>
      <c r="F1487" s="55" t="s">
        <v>527</v>
      </c>
    </row>
    <row r="1488" spans="1:6">
      <c r="A1488" s="54">
        <v>40862</v>
      </c>
      <c r="B1488" s="55">
        <v>9.7050000000000001</v>
      </c>
      <c r="C1488" s="55">
        <v>6.47</v>
      </c>
      <c r="D1488" s="55">
        <v>8.7970000000000006</v>
      </c>
      <c r="E1488" s="55" t="s">
        <v>527</v>
      </c>
      <c r="F1488" s="55" t="s">
        <v>527</v>
      </c>
    </row>
    <row r="1489" spans="1:6">
      <c r="A1489" s="54">
        <v>40863</v>
      </c>
      <c r="B1489" s="55">
        <v>10.25</v>
      </c>
      <c r="C1489" s="55">
        <v>6.81</v>
      </c>
      <c r="D1489" s="55">
        <v>9.0250000000000004</v>
      </c>
      <c r="E1489" s="55" t="s">
        <v>527</v>
      </c>
      <c r="F1489" s="55" t="s">
        <v>527</v>
      </c>
    </row>
    <row r="1490" spans="1:6">
      <c r="A1490" s="54">
        <v>40864</v>
      </c>
      <c r="B1490" s="55">
        <v>10.755000000000001</v>
      </c>
      <c r="C1490" s="55">
        <v>7.1470000000000002</v>
      </c>
      <c r="D1490" s="55">
        <v>9.6389999999999993</v>
      </c>
      <c r="E1490" s="55" t="s">
        <v>527</v>
      </c>
      <c r="F1490" s="55" t="s">
        <v>527</v>
      </c>
    </row>
    <row r="1491" spans="1:6">
      <c r="A1491" s="54">
        <v>40865</v>
      </c>
      <c r="B1491" s="55">
        <v>15.22</v>
      </c>
      <c r="C1491" s="55">
        <v>10.074</v>
      </c>
      <c r="D1491" s="55">
        <v>14.026</v>
      </c>
      <c r="E1491" s="55" t="s">
        <v>527</v>
      </c>
      <c r="F1491" s="55" t="s">
        <v>527</v>
      </c>
    </row>
    <row r="1492" spans="1:6">
      <c r="A1492" s="54">
        <v>40866</v>
      </c>
      <c r="B1492" s="55">
        <v>18.164000000000001</v>
      </c>
      <c r="C1492" s="55">
        <v>11.238</v>
      </c>
      <c r="D1492" s="55">
        <v>16.544</v>
      </c>
      <c r="E1492" s="55" t="s">
        <v>527</v>
      </c>
      <c r="F1492" s="55" t="s">
        <v>527</v>
      </c>
    </row>
    <row r="1493" spans="1:6">
      <c r="A1493" s="54">
        <v>40867</v>
      </c>
      <c r="B1493" s="55">
        <v>14.268000000000001</v>
      </c>
      <c r="C1493" s="55">
        <v>9.0310000000000006</v>
      </c>
      <c r="D1493" s="55">
        <v>12.946999999999999</v>
      </c>
      <c r="E1493" s="55" t="s">
        <v>527</v>
      </c>
      <c r="F1493" s="55" t="s">
        <v>527</v>
      </c>
    </row>
    <row r="1494" spans="1:6">
      <c r="A1494" s="54">
        <v>40868</v>
      </c>
      <c r="B1494" s="55">
        <v>10.388999999999999</v>
      </c>
      <c r="C1494" s="55">
        <v>6.9160000000000004</v>
      </c>
      <c r="D1494" s="55">
        <v>9.3580000000000005</v>
      </c>
      <c r="E1494" s="55" t="s">
        <v>527</v>
      </c>
      <c r="F1494" s="55" t="s">
        <v>527</v>
      </c>
    </row>
    <row r="1495" spans="1:6">
      <c r="A1495" s="54">
        <v>40869</v>
      </c>
      <c r="B1495" s="55">
        <v>10.965</v>
      </c>
      <c r="C1495" s="55">
        <v>7.3380000000000001</v>
      </c>
      <c r="D1495" s="55">
        <v>9.8190000000000008</v>
      </c>
      <c r="E1495" s="55" t="s">
        <v>527</v>
      </c>
      <c r="F1495" s="55" t="s">
        <v>527</v>
      </c>
    </row>
    <row r="1496" spans="1:6">
      <c r="A1496" s="54">
        <v>40870</v>
      </c>
      <c r="B1496" s="55">
        <v>12.071</v>
      </c>
      <c r="C1496" s="55">
        <v>8.0090000000000003</v>
      </c>
      <c r="D1496" s="55">
        <v>10.856999999999999</v>
      </c>
      <c r="E1496" s="55" t="s">
        <v>527</v>
      </c>
      <c r="F1496" s="55" t="s">
        <v>527</v>
      </c>
    </row>
    <row r="1497" spans="1:6">
      <c r="A1497" s="54">
        <v>40871</v>
      </c>
      <c r="B1497" s="55">
        <v>12.617000000000001</v>
      </c>
      <c r="C1497" s="55">
        <v>8.2759999999999998</v>
      </c>
      <c r="D1497" s="55">
        <v>11.098000000000001</v>
      </c>
      <c r="E1497" s="55" t="s">
        <v>527</v>
      </c>
      <c r="F1497" s="55" t="s">
        <v>527</v>
      </c>
    </row>
    <row r="1498" spans="1:6">
      <c r="A1498" s="54">
        <v>40872</v>
      </c>
      <c r="B1498" s="55">
        <v>15.805999999999999</v>
      </c>
      <c r="C1498" s="55">
        <v>10.339</v>
      </c>
      <c r="D1498" s="55">
        <v>14.144</v>
      </c>
      <c r="E1498" s="55" t="s">
        <v>527</v>
      </c>
      <c r="F1498" s="55" t="s">
        <v>527</v>
      </c>
    </row>
    <row r="1499" spans="1:6">
      <c r="A1499" s="54">
        <v>40873</v>
      </c>
      <c r="B1499" s="55">
        <v>17.184000000000001</v>
      </c>
      <c r="C1499" s="55">
        <v>10.827999999999999</v>
      </c>
      <c r="D1499" s="55">
        <v>15.436999999999999</v>
      </c>
      <c r="E1499" s="55" t="s">
        <v>527</v>
      </c>
      <c r="F1499" s="55" t="s">
        <v>527</v>
      </c>
    </row>
    <row r="1500" spans="1:6">
      <c r="A1500" s="54">
        <v>40874</v>
      </c>
      <c r="B1500" s="55">
        <v>12.983000000000001</v>
      </c>
      <c r="C1500" s="55">
        <v>8.2959999999999994</v>
      </c>
      <c r="D1500" s="55">
        <v>11.736000000000001</v>
      </c>
      <c r="E1500" s="55" t="s">
        <v>527</v>
      </c>
      <c r="F1500" s="55" t="s">
        <v>527</v>
      </c>
    </row>
    <row r="1501" spans="1:6">
      <c r="A1501" s="54">
        <v>40875</v>
      </c>
      <c r="B1501" s="55">
        <v>9.7989999999999995</v>
      </c>
      <c r="C1501" s="55">
        <v>6.5549999999999997</v>
      </c>
      <c r="D1501" s="55">
        <v>8.8729999999999993</v>
      </c>
      <c r="E1501" s="55" t="s">
        <v>527</v>
      </c>
      <c r="F1501" s="55" t="s">
        <v>527</v>
      </c>
    </row>
    <row r="1502" spans="1:6">
      <c r="A1502" s="54">
        <v>40876</v>
      </c>
      <c r="B1502" s="55">
        <v>10.275</v>
      </c>
      <c r="C1502" s="55">
        <v>6.76</v>
      </c>
      <c r="D1502" s="55">
        <v>9.2919999999999998</v>
      </c>
      <c r="E1502" s="55" t="s">
        <v>527</v>
      </c>
      <c r="F1502" s="55" t="s">
        <v>527</v>
      </c>
    </row>
    <row r="1503" spans="1:6">
      <c r="A1503" s="54">
        <v>40877</v>
      </c>
      <c r="B1503" s="55">
        <v>10.407</v>
      </c>
      <c r="C1503" s="55">
        <v>6.9660000000000002</v>
      </c>
      <c r="D1503" s="55">
        <v>9.41</v>
      </c>
      <c r="E1503" s="55" t="s">
        <v>527</v>
      </c>
      <c r="F1503" s="55" t="s">
        <v>527</v>
      </c>
    </row>
    <row r="1504" spans="1:6">
      <c r="A1504" s="56"/>
    </row>
    <row r="1505" spans="1:6">
      <c r="A1505" s="57" t="s">
        <v>578</v>
      </c>
    </row>
    <row r="1506" spans="1:6">
      <c r="A1506" s="57" t="s">
        <v>529</v>
      </c>
    </row>
    <row r="1507" spans="1:6" ht="18">
      <c r="A1507" s="58">
        <v>365.88499999999999</v>
      </c>
    </row>
    <row r="1508" spans="1:6">
      <c r="A1508" s="57" t="s">
        <v>531</v>
      </c>
    </row>
    <row r="1509" spans="1:6">
      <c r="A1509" s="59">
        <v>198.339</v>
      </c>
    </row>
    <row r="1510" spans="1:6">
      <c r="A1510" s="57" t="s">
        <v>533</v>
      </c>
    </row>
    <row r="1511" spans="1:6">
      <c r="A1511" s="60">
        <v>30682</v>
      </c>
    </row>
    <row r="1512" spans="1:6">
      <c r="A1512" s="61"/>
    </row>
    <row r="1513" spans="1:6" ht="30">
      <c r="A1513" s="52" t="s">
        <v>521</v>
      </c>
      <c r="B1513" s="52" t="s">
        <v>522</v>
      </c>
      <c r="C1513" s="52" t="s">
        <v>523</v>
      </c>
      <c r="D1513" s="53" t="s">
        <v>524</v>
      </c>
      <c r="E1513" s="53" t="s">
        <v>525</v>
      </c>
      <c r="F1513" s="53" t="s">
        <v>526</v>
      </c>
    </row>
    <row r="1514" spans="1:6">
      <c r="A1514" s="54">
        <v>40878</v>
      </c>
      <c r="B1514" s="55">
        <v>10.366</v>
      </c>
      <c r="C1514" s="55">
        <v>6.8689999999999998</v>
      </c>
      <c r="D1514" s="55">
        <v>9.3870000000000005</v>
      </c>
      <c r="E1514" s="55" t="s">
        <v>527</v>
      </c>
      <c r="F1514" s="55" t="s">
        <v>527</v>
      </c>
    </row>
    <row r="1515" spans="1:6">
      <c r="A1515" s="54">
        <v>40879</v>
      </c>
      <c r="B1515" s="55">
        <v>14.013</v>
      </c>
      <c r="C1515" s="55">
        <v>9.2260000000000009</v>
      </c>
      <c r="D1515" s="55">
        <v>12.906000000000001</v>
      </c>
      <c r="E1515" s="55" t="s">
        <v>527</v>
      </c>
      <c r="F1515" s="55" t="s">
        <v>527</v>
      </c>
    </row>
    <row r="1516" spans="1:6">
      <c r="A1516" s="54">
        <v>40880</v>
      </c>
      <c r="B1516" s="55">
        <v>16.748000000000001</v>
      </c>
      <c r="C1516" s="55">
        <v>10.785</v>
      </c>
      <c r="D1516" s="55">
        <v>15.304</v>
      </c>
      <c r="E1516" s="55" t="s">
        <v>527</v>
      </c>
      <c r="F1516" s="55" t="s">
        <v>527</v>
      </c>
    </row>
    <row r="1517" spans="1:6">
      <c r="A1517" s="54">
        <v>40881</v>
      </c>
      <c r="B1517" s="55">
        <v>13.635</v>
      </c>
      <c r="C1517" s="55">
        <v>8.58</v>
      </c>
      <c r="D1517" s="55">
        <v>12.403</v>
      </c>
      <c r="E1517" s="55" t="s">
        <v>527</v>
      </c>
      <c r="F1517" s="55" t="s">
        <v>527</v>
      </c>
    </row>
    <row r="1518" spans="1:6">
      <c r="A1518" s="54">
        <v>40882</v>
      </c>
      <c r="B1518" s="55">
        <v>9.952</v>
      </c>
      <c r="C1518" s="55">
        <v>6.6769999999999996</v>
      </c>
      <c r="D1518" s="55">
        <v>8.968</v>
      </c>
      <c r="E1518" s="55" t="s">
        <v>527</v>
      </c>
      <c r="F1518" s="55" t="s">
        <v>527</v>
      </c>
    </row>
    <row r="1519" spans="1:6">
      <c r="A1519" s="54">
        <v>40883</v>
      </c>
      <c r="B1519" s="55">
        <v>9.3729999999999993</v>
      </c>
      <c r="C1519" s="55">
        <v>6.399</v>
      </c>
      <c r="D1519" s="55">
        <v>8.4250000000000007</v>
      </c>
      <c r="E1519" s="55" t="s">
        <v>527</v>
      </c>
      <c r="F1519" s="55" t="s">
        <v>527</v>
      </c>
    </row>
    <row r="1520" spans="1:6">
      <c r="A1520" s="54">
        <v>40884</v>
      </c>
      <c r="B1520" s="55">
        <v>9.9489999999999998</v>
      </c>
      <c r="C1520" s="55">
        <v>6.532</v>
      </c>
      <c r="D1520" s="55">
        <v>8.8970000000000002</v>
      </c>
      <c r="E1520" s="55" t="s">
        <v>527</v>
      </c>
      <c r="F1520" s="55" t="s">
        <v>527</v>
      </c>
    </row>
    <row r="1521" spans="1:6">
      <c r="A1521" s="54">
        <v>40885</v>
      </c>
      <c r="B1521" s="55">
        <v>10.081</v>
      </c>
      <c r="C1521" s="55">
        <v>6.6310000000000002</v>
      </c>
      <c r="D1521" s="55">
        <v>9.0280000000000005</v>
      </c>
      <c r="E1521" s="55" t="s">
        <v>527</v>
      </c>
      <c r="F1521" s="55" t="s">
        <v>527</v>
      </c>
    </row>
    <row r="1522" spans="1:6">
      <c r="A1522" s="54">
        <v>40886</v>
      </c>
      <c r="B1522" s="55">
        <v>13.888999999999999</v>
      </c>
      <c r="C1522" s="55">
        <v>9.0630000000000006</v>
      </c>
      <c r="D1522" s="55">
        <v>12.444000000000001</v>
      </c>
      <c r="E1522" s="55" t="s">
        <v>527</v>
      </c>
      <c r="F1522" s="55" t="s">
        <v>527</v>
      </c>
    </row>
    <row r="1523" spans="1:6">
      <c r="A1523" s="54">
        <v>40887</v>
      </c>
      <c r="B1523" s="55">
        <v>16.265999999999998</v>
      </c>
      <c r="C1523" s="55">
        <v>10.047000000000001</v>
      </c>
      <c r="D1523" s="55">
        <v>14.609</v>
      </c>
      <c r="E1523" s="55" t="s">
        <v>527</v>
      </c>
      <c r="F1523" s="55" t="s">
        <v>527</v>
      </c>
    </row>
    <row r="1524" spans="1:6">
      <c r="A1524" s="54">
        <v>40888</v>
      </c>
      <c r="B1524" s="55">
        <v>13.071</v>
      </c>
      <c r="C1524" s="55">
        <v>7.9880000000000004</v>
      </c>
      <c r="D1524" s="55">
        <v>11.606</v>
      </c>
      <c r="E1524" s="55" t="s">
        <v>527</v>
      </c>
      <c r="F1524" s="55" t="s">
        <v>527</v>
      </c>
    </row>
    <row r="1525" spans="1:6">
      <c r="A1525" s="54">
        <v>40889</v>
      </c>
      <c r="B1525" s="55">
        <v>9.4339999999999993</v>
      </c>
      <c r="C1525" s="55">
        <v>6.0869999999999997</v>
      </c>
      <c r="D1525" s="55">
        <v>8.3510000000000009</v>
      </c>
      <c r="E1525" s="55" t="s">
        <v>527</v>
      </c>
      <c r="F1525" s="55" t="s">
        <v>527</v>
      </c>
    </row>
    <row r="1526" spans="1:6">
      <c r="A1526" s="54">
        <v>40890</v>
      </c>
      <c r="B1526" s="55">
        <v>9.8239999999999998</v>
      </c>
      <c r="C1526" s="55">
        <v>6.3730000000000002</v>
      </c>
      <c r="D1526" s="55">
        <v>8.7349999999999994</v>
      </c>
      <c r="E1526" s="55" t="s">
        <v>527</v>
      </c>
      <c r="F1526" s="55" t="s">
        <v>527</v>
      </c>
    </row>
    <row r="1527" spans="1:6">
      <c r="A1527" s="54">
        <v>40891</v>
      </c>
      <c r="B1527" s="55">
        <v>10.502000000000001</v>
      </c>
      <c r="C1527" s="55">
        <v>6.7320000000000002</v>
      </c>
      <c r="D1527" s="55">
        <v>9.3699999999999992</v>
      </c>
      <c r="E1527" s="55" t="s">
        <v>527</v>
      </c>
      <c r="F1527" s="55" t="s">
        <v>527</v>
      </c>
    </row>
    <row r="1528" spans="1:6">
      <c r="A1528" s="54">
        <v>40892</v>
      </c>
      <c r="B1528" s="55">
        <v>10.865</v>
      </c>
      <c r="C1528" s="55">
        <v>7.1</v>
      </c>
      <c r="D1528" s="55">
        <v>9.76</v>
      </c>
      <c r="E1528" s="55" t="s">
        <v>527</v>
      </c>
      <c r="F1528" s="55" t="s">
        <v>527</v>
      </c>
    </row>
    <row r="1529" spans="1:6">
      <c r="A1529" s="54">
        <v>40893</v>
      </c>
      <c r="B1529" s="55">
        <v>15.37</v>
      </c>
      <c r="C1529" s="55">
        <v>9.8759999999999994</v>
      </c>
      <c r="D1529" s="55">
        <v>14.055</v>
      </c>
      <c r="E1529" s="55" t="s">
        <v>527</v>
      </c>
      <c r="F1529" s="55" t="s">
        <v>527</v>
      </c>
    </row>
    <row r="1530" spans="1:6">
      <c r="A1530" s="54">
        <v>40894</v>
      </c>
      <c r="B1530" s="55">
        <v>17.567</v>
      </c>
      <c r="C1530" s="55">
        <v>10.696</v>
      </c>
      <c r="D1530" s="55">
        <v>15.929</v>
      </c>
      <c r="E1530" s="55" t="s">
        <v>527</v>
      </c>
      <c r="F1530" s="55" t="s">
        <v>527</v>
      </c>
    </row>
    <row r="1531" spans="1:6">
      <c r="A1531" s="54">
        <v>40895</v>
      </c>
      <c r="B1531" s="55">
        <v>14.409000000000001</v>
      </c>
      <c r="C1531" s="55">
        <v>8.7449999999999992</v>
      </c>
      <c r="D1531" s="55">
        <v>12.881</v>
      </c>
      <c r="E1531" s="55" t="s">
        <v>527</v>
      </c>
      <c r="F1531" s="55" t="s">
        <v>527</v>
      </c>
    </row>
    <row r="1532" spans="1:6">
      <c r="A1532" s="54">
        <v>40896</v>
      </c>
      <c r="B1532" s="55">
        <v>12.616</v>
      </c>
      <c r="C1532" s="55">
        <v>7.8380000000000001</v>
      </c>
      <c r="D1532" s="55">
        <v>11.27</v>
      </c>
      <c r="E1532" s="55" t="s">
        <v>527</v>
      </c>
      <c r="F1532" s="55" t="s">
        <v>527</v>
      </c>
    </row>
    <row r="1533" spans="1:6">
      <c r="A1533" s="54">
        <v>40897</v>
      </c>
      <c r="B1533" s="55">
        <v>13.048999999999999</v>
      </c>
      <c r="C1533" s="55">
        <v>8.15</v>
      </c>
      <c r="D1533" s="55">
        <v>11.561999999999999</v>
      </c>
      <c r="E1533" s="55" t="s">
        <v>527</v>
      </c>
      <c r="F1533" s="55" t="s">
        <v>527</v>
      </c>
    </row>
    <row r="1534" spans="1:6">
      <c r="A1534" s="54">
        <v>40898</v>
      </c>
      <c r="B1534" s="55">
        <v>13.942</v>
      </c>
      <c r="C1534" s="55">
        <v>8.9169999999999998</v>
      </c>
      <c r="D1534" s="55">
        <v>12.396000000000001</v>
      </c>
      <c r="E1534" s="55" t="s">
        <v>527</v>
      </c>
      <c r="F1534" s="55" t="s">
        <v>527</v>
      </c>
    </row>
    <row r="1535" spans="1:6">
      <c r="A1535" s="54">
        <v>40899</v>
      </c>
      <c r="B1535" s="55">
        <v>14.67</v>
      </c>
      <c r="C1535" s="55">
        <v>9.2650000000000006</v>
      </c>
      <c r="D1535" s="55">
        <v>13.071</v>
      </c>
      <c r="E1535" s="55" t="s">
        <v>527</v>
      </c>
      <c r="F1535" s="55" t="s">
        <v>527</v>
      </c>
    </row>
    <row r="1536" spans="1:6">
      <c r="A1536" s="54">
        <v>40900</v>
      </c>
      <c r="B1536" s="55">
        <v>17.73</v>
      </c>
      <c r="C1536" s="55">
        <v>11.201000000000001</v>
      </c>
      <c r="D1536" s="55">
        <v>16.077999999999999</v>
      </c>
      <c r="E1536" s="55" t="s">
        <v>527</v>
      </c>
      <c r="F1536" s="55" t="s">
        <v>527</v>
      </c>
    </row>
    <row r="1537" spans="1:6">
      <c r="A1537" s="54">
        <v>40901</v>
      </c>
      <c r="B1537" s="55">
        <v>16.300999999999998</v>
      </c>
      <c r="C1537" s="55">
        <v>10.005000000000001</v>
      </c>
      <c r="D1537" s="55">
        <v>14.6</v>
      </c>
      <c r="E1537" s="55" t="s">
        <v>527</v>
      </c>
      <c r="F1537" s="55" t="s">
        <v>527</v>
      </c>
    </row>
    <row r="1538" spans="1:6">
      <c r="A1538" s="54">
        <v>40902</v>
      </c>
      <c r="B1538" s="55">
        <v>13.103</v>
      </c>
      <c r="C1538" s="55">
        <v>8.1560000000000006</v>
      </c>
      <c r="D1538" s="55">
        <v>11.973000000000001</v>
      </c>
      <c r="E1538" s="55" t="s">
        <v>527</v>
      </c>
      <c r="F1538" s="55" t="s">
        <v>527</v>
      </c>
    </row>
    <row r="1539" spans="1:6">
      <c r="A1539" s="54">
        <v>40903</v>
      </c>
      <c r="B1539" s="55">
        <v>13.057</v>
      </c>
      <c r="C1539" s="55">
        <v>8.1349999999999998</v>
      </c>
      <c r="D1539" s="55">
        <v>11.816000000000001</v>
      </c>
      <c r="E1539" s="55" t="s">
        <v>527</v>
      </c>
      <c r="F1539" s="55" t="s">
        <v>527</v>
      </c>
    </row>
    <row r="1540" spans="1:6">
      <c r="A1540" s="54">
        <v>40904</v>
      </c>
      <c r="B1540" s="55">
        <v>14.023999999999999</v>
      </c>
      <c r="C1540" s="55">
        <v>8.9860000000000007</v>
      </c>
      <c r="D1540" s="55">
        <v>12.798999999999999</v>
      </c>
      <c r="E1540" s="55" t="s">
        <v>527</v>
      </c>
      <c r="F1540" s="55" t="s">
        <v>527</v>
      </c>
    </row>
    <row r="1541" spans="1:6">
      <c r="A1541" s="54">
        <v>40905</v>
      </c>
      <c r="B1541" s="55">
        <v>12.523</v>
      </c>
      <c r="C1541" s="55">
        <v>7.8940000000000001</v>
      </c>
      <c r="D1541" s="55">
        <v>11.336</v>
      </c>
      <c r="E1541" s="55" t="s">
        <v>527</v>
      </c>
      <c r="F1541" s="55" t="s">
        <v>527</v>
      </c>
    </row>
    <row r="1542" spans="1:6">
      <c r="A1542" s="54">
        <v>40906</v>
      </c>
      <c r="B1542" s="55">
        <v>13.098000000000001</v>
      </c>
      <c r="C1542" s="55">
        <v>8.2040000000000006</v>
      </c>
      <c r="D1542" s="55">
        <v>11.823</v>
      </c>
      <c r="E1542" s="55" t="s">
        <v>527</v>
      </c>
      <c r="F1542" s="55" t="s">
        <v>527</v>
      </c>
    </row>
    <row r="1543" spans="1:6">
      <c r="A1543" s="54">
        <v>40907</v>
      </c>
      <c r="B1543" s="55">
        <v>13.207000000000001</v>
      </c>
      <c r="C1543" s="55">
        <v>9.2910000000000004</v>
      </c>
      <c r="D1543" s="55">
        <v>11.916</v>
      </c>
      <c r="E1543" s="55" t="s">
        <v>527</v>
      </c>
      <c r="F1543" s="55" t="s">
        <v>527</v>
      </c>
    </row>
    <row r="1544" spans="1:6">
      <c r="A1544" s="54">
        <v>40908</v>
      </c>
      <c r="B1544" s="55">
        <v>13.467000000000001</v>
      </c>
      <c r="C1544" s="55">
        <v>8.4179999999999993</v>
      </c>
      <c r="D1544" s="55">
        <v>12.186999999999999</v>
      </c>
      <c r="E1544" s="55" t="s">
        <v>527</v>
      </c>
      <c r="F1544" s="55" t="s">
        <v>527</v>
      </c>
    </row>
    <row r="1545" spans="1:6">
      <c r="A1545" s="56"/>
    </row>
    <row r="1546" spans="1:6">
      <c r="A1546" s="57" t="s">
        <v>579</v>
      </c>
    </row>
    <row r="1547" spans="1:6">
      <c r="A1547" s="57" t="s">
        <v>529</v>
      </c>
    </row>
    <row r="1548" spans="1:6" ht="18">
      <c r="A1548" s="58">
        <v>303.41000000000003</v>
      </c>
    </row>
    <row r="1549" spans="1:6">
      <c r="A1549" s="57" t="s">
        <v>531</v>
      </c>
    </row>
    <row r="1550" spans="1:6">
      <c r="A1550" s="59">
        <v>162.63499999999999</v>
      </c>
    </row>
    <row r="1551" spans="1:6">
      <c r="A1551" s="57" t="s">
        <v>533</v>
      </c>
    </row>
    <row r="1552" spans="1:6">
      <c r="A1552" s="60">
        <v>31778</v>
      </c>
    </row>
    <row r="1553" spans="1:6">
      <c r="A1553" s="61"/>
    </row>
    <row r="1554" spans="1:6" ht="30">
      <c r="A1554" s="52" t="s">
        <v>521</v>
      </c>
      <c r="B1554" s="52" t="s">
        <v>522</v>
      </c>
      <c r="C1554" s="52" t="s">
        <v>523</v>
      </c>
      <c r="D1554" s="53" t="s">
        <v>524</v>
      </c>
      <c r="E1554" s="53" t="s">
        <v>525</v>
      </c>
      <c r="F1554" s="53" t="s">
        <v>526</v>
      </c>
    </row>
    <row r="1555" spans="1:6">
      <c r="A1555" s="54">
        <v>40909</v>
      </c>
      <c r="B1555" s="55">
        <v>11.46</v>
      </c>
      <c r="C1555" s="55">
        <v>7.1680000000000001</v>
      </c>
      <c r="D1555" s="55">
        <v>10.193</v>
      </c>
      <c r="E1555" s="55" t="s">
        <v>527</v>
      </c>
      <c r="F1555" s="55" t="s">
        <v>527</v>
      </c>
    </row>
    <row r="1556" spans="1:6">
      <c r="A1556" s="54">
        <v>40910</v>
      </c>
      <c r="B1556" s="55">
        <v>10.54</v>
      </c>
      <c r="C1556" s="55">
        <v>6.5069999999999997</v>
      </c>
      <c r="D1556" s="55">
        <v>9.3699999999999992</v>
      </c>
      <c r="E1556" s="55" t="s">
        <v>527</v>
      </c>
      <c r="F1556" s="55" t="s">
        <v>527</v>
      </c>
    </row>
    <row r="1557" spans="1:6">
      <c r="A1557" s="54">
        <v>40911</v>
      </c>
      <c r="B1557" s="55">
        <v>9.5579999999999998</v>
      </c>
      <c r="C1557" s="55">
        <v>6.0030000000000001</v>
      </c>
      <c r="D1557" s="55">
        <v>7.7279999999999998</v>
      </c>
      <c r="E1557" s="55" t="s">
        <v>527</v>
      </c>
      <c r="F1557" s="55" t="s">
        <v>527</v>
      </c>
    </row>
    <row r="1558" spans="1:6">
      <c r="A1558" s="54">
        <v>40912</v>
      </c>
      <c r="B1558" s="55">
        <v>8.2040000000000006</v>
      </c>
      <c r="C1558" s="55">
        <v>5.2469999999999999</v>
      </c>
      <c r="D1558" s="55">
        <v>7.28</v>
      </c>
      <c r="E1558" s="55" t="s">
        <v>527</v>
      </c>
      <c r="F1558" s="55" t="s">
        <v>527</v>
      </c>
    </row>
    <row r="1559" spans="1:6">
      <c r="A1559" s="54">
        <v>40913</v>
      </c>
      <c r="B1559" s="55">
        <v>9.6150000000000002</v>
      </c>
      <c r="C1559" s="55">
        <v>6.0880000000000001</v>
      </c>
      <c r="D1559" s="55">
        <v>8.6590000000000007</v>
      </c>
      <c r="E1559" s="55" t="s">
        <v>527</v>
      </c>
      <c r="F1559" s="55" t="s">
        <v>527</v>
      </c>
    </row>
    <row r="1560" spans="1:6">
      <c r="A1560" s="54">
        <v>40914</v>
      </c>
      <c r="B1560" s="55">
        <v>11.882</v>
      </c>
      <c r="C1560" s="55">
        <v>7.5030000000000001</v>
      </c>
      <c r="D1560" s="55">
        <v>10.803000000000001</v>
      </c>
      <c r="E1560" s="55" t="s">
        <v>527</v>
      </c>
      <c r="F1560" s="55" t="s">
        <v>527</v>
      </c>
    </row>
    <row r="1561" spans="1:6">
      <c r="A1561" s="54">
        <v>40915</v>
      </c>
      <c r="B1561" s="55">
        <v>12.268000000000001</v>
      </c>
      <c r="C1561" s="55">
        <v>7.4459999999999997</v>
      </c>
      <c r="D1561" s="55">
        <v>11.07</v>
      </c>
      <c r="E1561" s="55" t="s">
        <v>527</v>
      </c>
      <c r="F1561" s="55" t="s">
        <v>527</v>
      </c>
    </row>
    <row r="1562" spans="1:6">
      <c r="A1562" s="54">
        <v>40916</v>
      </c>
      <c r="B1562" s="55">
        <v>8.9510000000000005</v>
      </c>
      <c r="C1562" s="55">
        <v>5.5949999999999998</v>
      </c>
      <c r="D1562" s="55">
        <v>7.9779999999999998</v>
      </c>
      <c r="E1562" s="55" t="s">
        <v>527</v>
      </c>
      <c r="F1562" s="55" t="s">
        <v>527</v>
      </c>
    </row>
    <row r="1563" spans="1:6">
      <c r="A1563" s="54">
        <v>40917</v>
      </c>
      <c r="B1563" s="55">
        <v>8.2430000000000003</v>
      </c>
      <c r="C1563" s="55">
        <v>5.2549999999999999</v>
      </c>
      <c r="D1563" s="55">
        <v>7.3890000000000002</v>
      </c>
      <c r="E1563" s="55" t="s">
        <v>527</v>
      </c>
      <c r="F1563" s="55" t="s">
        <v>527</v>
      </c>
    </row>
    <row r="1564" spans="1:6">
      <c r="A1564" s="54">
        <v>40918</v>
      </c>
      <c r="B1564" s="55">
        <v>8.7469999999999999</v>
      </c>
      <c r="C1564" s="55">
        <v>5.6680000000000001</v>
      </c>
      <c r="D1564" s="55">
        <v>7.9059999999999997</v>
      </c>
      <c r="E1564" s="55" t="s">
        <v>527</v>
      </c>
      <c r="F1564" s="55" t="s">
        <v>527</v>
      </c>
    </row>
    <row r="1565" spans="1:6">
      <c r="A1565" s="54">
        <v>40919</v>
      </c>
      <c r="B1565" s="55">
        <v>8.8719999999999999</v>
      </c>
      <c r="C1565" s="55">
        <v>5.5890000000000004</v>
      </c>
      <c r="D1565" s="55">
        <v>7.9969999999999999</v>
      </c>
      <c r="E1565" s="55" t="s">
        <v>527</v>
      </c>
      <c r="F1565" s="55" t="s">
        <v>527</v>
      </c>
    </row>
    <row r="1566" spans="1:6">
      <c r="A1566" s="54">
        <v>40920</v>
      </c>
      <c r="B1566" s="55">
        <v>8.9440000000000008</v>
      </c>
      <c r="C1566" s="55">
        <v>5.7729999999999997</v>
      </c>
      <c r="D1566" s="55">
        <v>8.0630000000000006</v>
      </c>
      <c r="E1566" s="55" t="s">
        <v>527</v>
      </c>
      <c r="F1566" s="55" t="s">
        <v>527</v>
      </c>
    </row>
    <row r="1567" spans="1:6">
      <c r="A1567" s="54">
        <v>40921</v>
      </c>
      <c r="B1567" s="55">
        <v>12.406000000000001</v>
      </c>
      <c r="C1567" s="55">
        <v>7.9809999999999999</v>
      </c>
      <c r="D1567" s="55">
        <v>11.317</v>
      </c>
      <c r="E1567" s="55" t="s">
        <v>527</v>
      </c>
      <c r="F1567" s="55" t="s">
        <v>527</v>
      </c>
    </row>
    <row r="1568" spans="1:6">
      <c r="A1568" s="54">
        <v>40922</v>
      </c>
      <c r="B1568" s="55">
        <v>13.773</v>
      </c>
      <c r="C1568" s="55">
        <v>8.593</v>
      </c>
      <c r="D1568" s="55">
        <v>12.541</v>
      </c>
      <c r="E1568" s="55" t="s">
        <v>527</v>
      </c>
      <c r="F1568" s="55" t="s">
        <v>527</v>
      </c>
    </row>
    <row r="1569" spans="1:6">
      <c r="A1569" s="54">
        <v>40923</v>
      </c>
      <c r="B1569" s="55">
        <v>12.602</v>
      </c>
      <c r="C1569" s="55">
        <v>7.65</v>
      </c>
      <c r="D1569" s="55">
        <v>11.401999999999999</v>
      </c>
      <c r="E1569" s="55" t="s">
        <v>527</v>
      </c>
      <c r="F1569" s="55" t="s">
        <v>527</v>
      </c>
    </row>
    <row r="1570" spans="1:6">
      <c r="A1570" s="54">
        <v>40924</v>
      </c>
      <c r="B1570" s="55">
        <v>9.8780000000000001</v>
      </c>
      <c r="C1570" s="55">
        <v>6.1840000000000002</v>
      </c>
      <c r="D1570" s="55">
        <v>8.907</v>
      </c>
      <c r="E1570" s="55" t="s">
        <v>527</v>
      </c>
      <c r="F1570" s="55" t="s">
        <v>527</v>
      </c>
    </row>
    <row r="1571" spans="1:6">
      <c r="A1571" s="54">
        <v>40925</v>
      </c>
      <c r="B1571" s="55">
        <v>9.3930000000000007</v>
      </c>
      <c r="C1571" s="55">
        <v>5.9539999999999997</v>
      </c>
      <c r="D1571" s="55">
        <v>8.4930000000000003</v>
      </c>
      <c r="E1571" s="55" t="s">
        <v>527</v>
      </c>
      <c r="F1571" s="55" t="s">
        <v>527</v>
      </c>
    </row>
    <row r="1572" spans="1:6">
      <c r="A1572" s="54">
        <v>40926</v>
      </c>
      <c r="B1572" s="55">
        <v>10.302</v>
      </c>
      <c r="C1572" s="55">
        <v>6.556</v>
      </c>
      <c r="D1572" s="55">
        <v>9.4600000000000009</v>
      </c>
      <c r="E1572" s="55" t="s">
        <v>527</v>
      </c>
      <c r="F1572" s="55" t="s">
        <v>527</v>
      </c>
    </row>
    <row r="1573" spans="1:6">
      <c r="A1573" s="54">
        <v>40927</v>
      </c>
      <c r="B1573" s="55">
        <v>10.797000000000001</v>
      </c>
      <c r="C1573" s="55">
        <v>6.8529999999999998</v>
      </c>
      <c r="D1573" s="55">
        <v>9.9179999999999993</v>
      </c>
      <c r="E1573" s="55" t="s">
        <v>527</v>
      </c>
      <c r="F1573" s="55" t="s">
        <v>527</v>
      </c>
    </row>
    <row r="1574" spans="1:6">
      <c r="A1574" s="54">
        <v>40928</v>
      </c>
      <c r="B1574" s="55">
        <v>13.026</v>
      </c>
      <c r="C1574" s="55">
        <v>8.3339999999999996</v>
      </c>
      <c r="D1574" s="55">
        <v>11.928000000000001</v>
      </c>
      <c r="E1574" s="55" t="s">
        <v>527</v>
      </c>
      <c r="F1574" s="55" t="s">
        <v>527</v>
      </c>
    </row>
    <row r="1575" spans="1:6">
      <c r="A1575" s="54">
        <v>40929</v>
      </c>
      <c r="B1575" s="55">
        <v>15.321</v>
      </c>
      <c r="C1575" s="55">
        <v>9.4269999999999996</v>
      </c>
      <c r="D1575" s="55">
        <v>14.053000000000001</v>
      </c>
      <c r="E1575" s="55" t="s">
        <v>527</v>
      </c>
      <c r="F1575" s="55" t="s">
        <v>527</v>
      </c>
    </row>
    <row r="1576" spans="1:6">
      <c r="A1576" s="54">
        <v>40930</v>
      </c>
      <c r="B1576" s="55">
        <v>13.023</v>
      </c>
      <c r="C1576" s="55">
        <v>7.9560000000000004</v>
      </c>
      <c r="D1576" s="55">
        <v>11.869</v>
      </c>
      <c r="E1576" s="55" t="s">
        <v>527</v>
      </c>
      <c r="F1576" s="55" t="s">
        <v>527</v>
      </c>
    </row>
    <row r="1577" spans="1:6">
      <c r="A1577" s="54">
        <v>40931</v>
      </c>
      <c r="B1577" s="55">
        <v>9.9730000000000008</v>
      </c>
      <c r="C1577" s="55">
        <v>6.2439999999999998</v>
      </c>
      <c r="D1577" s="55">
        <v>9.0289999999999999</v>
      </c>
      <c r="E1577" s="55" t="s">
        <v>527</v>
      </c>
      <c r="F1577" s="55" t="s">
        <v>527</v>
      </c>
    </row>
    <row r="1578" spans="1:6">
      <c r="A1578" s="54">
        <v>40932</v>
      </c>
      <c r="B1578" s="55">
        <v>9.6120000000000001</v>
      </c>
      <c r="C1578" s="55">
        <v>6.1710000000000003</v>
      </c>
      <c r="D1578" s="55">
        <v>8.7690000000000001</v>
      </c>
      <c r="E1578" s="55" t="s">
        <v>527</v>
      </c>
      <c r="F1578" s="55" t="s">
        <v>527</v>
      </c>
    </row>
    <row r="1579" spans="1:6">
      <c r="A1579" s="54">
        <v>40933</v>
      </c>
      <c r="B1579" s="55">
        <v>10.302</v>
      </c>
      <c r="C1579" s="55">
        <v>6.4820000000000002</v>
      </c>
      <c r="D1579" s="55">
        <v>9.4350000000000005</v>
      </c>
      <c r="E1579" s="55" t="s">
        <v>527</v>
      </c>
      <c r="F1579" s="55" t="s">
        <v>527</v>
      </c>
    </row>
    <row r="1580" spans="1:6">
      <c r="A1580" s="54">
        <v>40934</v>
      </c>
      <c r="B1580" s="55">
        <v>9.9849999999999994</v>
      </c>
      <c r="C1580" s="55">
        <v>6.3090000000000002</v>
      </c>
      <c r="D1580" s="55">
        <v>9.0150000000000006</v>
      </c>
      <c r="E1580" s="55" t="s">
        <v>527</v>
      </c>
      <c r="F1580" s="55" t="s">
        <v>527</v>
      </c>
    </row>
    <row r="1581" spans="1:6">
      <c r="A1581" s="54">
        <v>40935</v>
      </c>
      <c r="B1581" s="55">
        <v>13.021000000000001</v>
      </c>
      <c r="C1581" s="55">
        <v>8.3230000000000004</v>
      </c>
      <c r="D1581" s="55">
        <v>11.938000000000001</v>
      </c>
      <c r="E1581" s="55" t="s">
        <v>527</v>
      </c>
      <c r="F1581" s="55" t="s">
        <v>527</v>
      </c>
    </row>
    <row r="1582" spans="1:6">
      <c r="A1582" s="54">
        <v>40936</v>
      </c>
      <c r="B1582" s="55">
        <v>14.305999999999999</v>
      </c>
      <c r="C1582" s="55">
        <v>8.8480000000000008</v>
      </c>
      <c r="D1582" s="55">
        <v>13.007</v>
      </c>
      <c r="E1582" s="55" t="s">
        <v>527</v>
      </c>
      <c r="F1582" s="55" t="s">
        <v>527</v>
      </c>
    </row>
    <row r="1583" spans="1:6">
      <c r="A1583" s="54">
        <v>40937</v>
      </c>
      <c r="B1583" s="55">
        <v>11.47</v>
      </c>
      <c r="C1583" s="55">
        <v>6.8570000000000002</v>
      </c>
      <c r="D1583" s="55">
        <v>10.343999999999999</v>
      </c>
      <c r="E1583" s="55" t="s">
        <v>527</v>
      </c>
      <c r="F1583" s="55" t="s">
        <v>527</v>
      </c>
    </row>
    <row r="1584" spans="1:6">
      <c r="A1584" s="54">
        <v>40938</v>
      </c>
      <c r="B1584" s="55">
        <v>9.6440000000000001</v>
      </c>
      <c r="C1584" s="55">
        <v>6.0609999999999999</v>
      </c>
      <c r="D1584" s="55">
        <v>8.7880000000000003</v>
      </c>
      <c r="E1584" s="55" t="s">
        <v>527</v>
      </c>
      <c r="F1584" s="55" t="s">
        <v>527</v>
      </c>
    </row>
    <row r="1585" spans="1:6">
      <c r="A1585" s="54">
        <v>40939</v>
      </c>
      <c r="B1585" s="55">
        <v>9.6620000000000008</v>
      </c>
      <c r="C1585" s="55">
        <v>6.2140000000000004</v>
      </c>
      <c r="D1585" s="55">
        <v>8.7609999999999992</v>
      </c>
      <c r="E1585" s="55" t="s">
        <v>527</v>
      </c>
      <c r="F1585" s="55" t="s">
        <v>527</v>
      </c>
    </row>
    <row r="1586" spans="1:6">
      <c r="A1586" s="56"/>
    </row>
    <row r="1587" spans="1:6">
      <c r="A1587" s="57" t="s">
        <v>580</v>
      </c>
    </row>
    <row r="1588" spans="1:6">
      <c r="A1588" s="57" t="s">
        <v>529</v>
      </c>
    </row>
    <row r="1589" spans="1:6" ht="18">
      <c r="A1589" s="58">
        <v>273.06400000000002</v>
      </c>
    </row>
    <row r="1590" spans="1:6">
      <c r="A1590" s="57" t="s">
        <v>531</v>
      </c>
    </row>
    <row r="1591" spans="1:6">
      <c r="A1591" s="59">
        <v>150.10300000000001</v>
      </c>
    </row>
    <row r="1592" spans="1:6">
      <c r="A1592" s="57" t="s">
        <v>533</v>
      </c>
    </row>
    <row r="1593" spans="1:6">
      <c r="A1593" s="60">
        <v>29952</v>
      </c>
    </row>
    <row r="1594" spans="1:6">
      <c r="A1594" s="61"/>
    </row>
    <row r="1595" spans="1:6" ht="30">
      <c r="A1595" s="52" t="s">
        <v>521</v>
      </c>
      <c r="B1595" s="52" t="s">
        <v>522</v>
      </c>
      <c r="C1595" s="52" t="s">
        <v>523</v>
      </c>
      <c r="D1595" s="53" t="s">
        <v>524</v>
      </c>
      <c r="E1595" s="53" t="s">
        <v>525</v>
      </c>
      <c r="F1595" s="53" t="s">
        <v>526</v>
      </c>
    </row>
    <row r="1596" spans="1:6">
      <c r="A1596" s="54">
        <v>40940</v>
      </c>
      <c r="B1596" s="55">
        <v>7.4880000000000004</v>
      </c>
      <c r="C1596" s="55">
        <v>4.6890000000000001</v>
      </c>
      <c r="D1596" s="55">
        <v>6.633</v>
      </c>
      <c r="E1596" s="55" t="s">
        <v>527</v>
      </c>
      <c r="F1596" s="55" t="s">
        <v>527</v>
      </c>
    </row>
    <row r="1597" spans="1:6">
      <c r="A1597" s="54">
        <v>40941</v>
      </c>
      <c r="B1597" s="55">
        <v>9.2929999999999993</v>
      </c>
      <c r="C1597" s="55">
        <v>5.91</v>
      </c>
      <c r="D1597" s="55">
        <v>8.4550000000000001</v>
      </c>
      <c r="E1597" s="55" t="s">
        <v>527</v>
      </c>
      <c r="F1597" s="55" t="s">
        <v>527</v>
      </c>
    </row>
    <row r="1598" spans="1:6">
      <c r="A1598" s="54">
        <v>40942</v>
      </c>
      <c r="B1598" s="55">
        <v>9.99</v>
      </c>
      <c r="C1598" s="55">
        <v>6.3470000000000004</v>
      </c>
      <c r="D1598" s="55">
        <v>8.8940000000000001</v>
      </c>
      <c r="E1598" s="55" t="s">
        <v>527</v>
      </c>
      <c r="F1598" s="55" t="s">
        <v>527</v>
      </c>
    </row>
    <row r="1599" spans="1:6">
      <c r="A1599" s="54">
        <v>40943</v>
      </c>
      <c r="B1599" s="55">
        <v>13.135999999999999</v>
      </c>
      <c r="C1599" s="55">
        <v>8.0180000000000007</v>
      </c>
      <c r="D1599" s="55">
        <v>11.89</v>
      </c>
      <c r="E1599" s="55" t="s">
        <v>527</v>
      </c>
      <c r="F1599" s="55" t="s">
        <v>527</v>
      </c>
    </row>
    <row r="1600" spans="1:6">
      <c r="A1600" s="54">
        <v>40944</v>
      </c>
      <c r="B1600" s="55">
        <v>10.706</v>
      </c>
      <c r="C1600" s="55">
        <v>6.4649999999999999</v>
      </c>
      <c r="D1600" s="55">
        <v>9.5749999999999993</v>
      </c>
      <c r="E1600" s="55" t="s">
        <v>527</v>
      </c>
      <c r="F1600" s="55" t="s">
        <v>527</v>
      </c>
    </row>
    <row r="1601" spans="1:6">
      <c r="A1601" s="54">
        <v>40945</v>
      </c>
      <c r="B1601" s="55">
        <v>8.4239999999999995</v>
      </c>
      <c r="C1601" s="55">
        <v>5.3949999999999996</v>
      </c>
      <c r="D1601" s="55">
        <v>7.6180000000000003</v>
      </c>
      <c r="E1601" s="55" t="s">
        <v>527</v>
      </c>
      <c r="F1601" s="55" t="s">
        <v>527</v>
      </c>
    </row>
    <row r="1602" spans="1:6">
      <c r="A1602" s="54">
        <v>40946</v>
      </c>
      <c r="B1602" s="55">
        <v>7.9660000000000002</v>
      </c>
      <c r="C1602" s="55">
        <v>5.23</v>
      </c>
      <c r="D1602" s="55">
        <v>7.0970000000000004</v>
      </c>
      <c r="E1602" s="55" t="s">
        <v>527</v>
      </c>
      <c r="F1602" s="55" t="s">
        <v>527</v>
      </c>
    </row>
    <row r="1603" spans="1:6">
      <c r="A1603" s="54">
        <v>40947</v>
      </c>
      <c r="B1603" s="55">
        <v>9.1170000000000009</v>
      </c>
      <c r="C1603" s="55">
        <v>6.008</v>
      </c>
      <c r="D1603" s="55">
        <v>8.2469999999999999</v>
      </c>
      <c r="E1603" s="55" t="s">
        <v>527</v>
      </c>
      <c r="F1603" s="55" t="s">
        <v>527</v>
      </c>
    </row>
    <row r="1604" spans="1:6">
      <c r="A1604" s="54">
        <v>40948</v>
      </c>
      <c r="B1604" s="55">
        <v>9.51</v>
      </c>
      <c r="C1604" s="55">
        <v>6.274</v>
      </c>
      <c r="D1604" s="55">
        <v>8.5090000000000003</v>
      </c>
      <c r="E1604" s="55" t="s">
        <v>527</v>
      </c>
      <c r="F1604" s="55" t="s">
        <v>527</v>
      </c>
    </row>
    <row r="1605" spans="1:6">
      <c r="A1605" s="54">
        <v>40949</v>
      </c>
      <c r="B1605" s="55">
        <v>12.944000000000001</v>
      </c>
      <c r="C1605" s="55">
        <v>8.5459999999999994</v>
      </c>
      <c r="D1605" s="55">
        <v>11.747</v>
      </c>
      <c r="E1605" s="55" t="s">
        <v>527</v>
      </c>
      <c r="F1605" s="55" t="s">
        <v>527</v>
      </c>
    </row>
    <row r="1606" spans="1:6">
      <c r="A1606" s="54">
        <v>40950</v>
      </c>
      <c r="B1606" s="55">
        <v>15.318</v>
      </c>
      <c r="C1606" s="55">
        <v>9.5359999999999996</v>
      </c>
      <c r="D1606" s="55">
        <v>13.84</v>
      </c>
      <c r="E1606" s="55" t="s">
        <v>527</v>
      </c>
      <c r="F1606" s="55" t="s">
        <v>527</v>
      </c>
    </row>
    <row r="1607" spans="1:6">
      <c r="A1607" s="54">
        <v>40951</v>
      </c>
      <c r="B1607" s="55">
        <v>12.052</v>
      </c>
      <c r="C1607" s="55">
        <v>7.5010000000000003</v>
      </c>
      <c r="D1607" s="55">
        <v>10.858000000000001</v>
      </c>
      <c r="E1607" s="55" t="s">
        <v>527</v>
      </c>
      <c r="F1607" s="55" t="s">
        <v>527</v>
      </c>
    </row>
    <row r="1608" spans="1:6">
      <c r="A1608" s="54">
        <v>40952</v>
      </c>
      <c r="B1608" s="55">
        <v>9.2159999999999993</v>
      </c>
      <c r="C1608" s="55">
        <v>5.9660000000000002</v>
      </c>
      <c r="D1608" s="55">
        <v>8.3239999999999998</v>
      </c>
      <c r="E1608" s="55" t="s">
        <v>527</v>
      </c>
      <c r="F1608" s="55" t="s">
        <v>527</v>
      </c>
    </row>
    <row r="1609" spans="1:6">
      <c r="A1609" s="54">
        <v>40953</v>
      </c>
      <c r="B1609" s="55">
        <v>9.3510000000000009</v>
      </c>
      <c r="C1609" s="55">
        <v>6.12</v>
      </c>
      <c r="D1609" s="55">
        <v>8.4420000000000002</v>
      </c>
      <c r="E1609" s="55" t="s">
        <v>527</v>
      </c>
      <c r="F1609" s="55" t="s">
        <v>527</v>
      </c>
    </row>
    <row r="1610" spans="1:6">
      <c r="A1610" s="54">
        <v>40954</v>
      </c>
      <c r="B1610" s="55">
        <v>9.3680000000000003</v>
      </c>
      <c r="C1610" s="55">
        <v>6.1829999999999998</v>
      </c>
      <c r="D1610" s="55">
        <v>8.42</v>
      </c>
      <c r="E1610" s="55" t="s">
        <v>527</v>
      </c>
      <c r="F1610" s="55" t="s">
        <v>527</v>
      </c>
    </row>
    <row r="1611" spans="1:6">
      <c r="A1611" s="54">
        <v>40955</v>
      </c>
      <c r="B1611" s="55">
        <v>9.4339999999999993</v>
      </c>
      <c r="C1611" s="55">
        <v>6.1619999999999999</v>
      </c>
      <c r="D1611" s="55">
        <v>8.4559999999999995</v>
      </c>
      <c r="E1611" s="55" t="s">
        <v>527</v>
      </c>
      <c r="F1611" s="55" t="s">
        <v>527</v>
      </c>
    </row>
    <row r="1612" spans="1:6">
      <c r="A1612" s="54">
        <v>40956</v>
      </c>
      <c r="B1612" s="55">
        <v>12.576000000000001</v>
      </c>
      <c r="C1612" s="55">
        <v>7.9649999999999999</v>
      </c>
      <c r="D1612" s="55">
        <v>11.348000000000001</v>
      </c>
      <c r="E1612" s="55" t="s">
        <v>527</v>
      </c>
      <c r="F1612" s="55" t="s">
        <v>527</v>
      </c>
    </row>
    <row r="1613" spans="1:6">
      <c r="A1613" s="54">
        <v>40957</v>
      </c>
      <c r="B1613" s="55">
        <v>14.55</v>
      </c>
      <c r="C1613" s="55">
        <v>8.99</v>
      </c>
      <c r="D1613" s="55">
        <v>13.148999999999999</v>
      </c>
      <c r="E1613" s="55" t="s">
        <v>527</v>
      </c>
      <c r="F1613" s="55" t="s">
        <v>527</v>
      </c>
    </row>
    <row r="1614" spans="1:6">
      <c r="A1614" s="54">
        <v>40958</v>
      </c>
      <c r="B1614" s="55">
        <v>11.782</v>
      </c>
      <c r="C1614" s="55">
        <v>7.2130000000000001</v>
      </c>
      <c r="D1614" s="55">
        <v>10.538</v>
      </c>
      <c r="E1614" s="55" t="s">
        <v>527</v>
      </c>
      <c r="F1614" s="55" t="s">
        <v>527</v>
      </c>
    </row>
    <row r="1615" spans="1:6">
      <c r="A1615" s="54">
        <v>40959</v>
      </c>
      <c r="B1615" s="55">
        <v>10.045</v>
      </c>
      <c r="C1615" s="55">
        <v>6.3460000000000001</v>
      </c>
      <c r="D1615" s="55">
        <v>8.8919999999999995</v>
      </c>
      <c r="E1615" s="55" t="s">
        <v>527</v>
      </c>
      <c r="F1615" s="55" t="s">
        <v>527</v>
      </c>
    </row>
    <row r="1616" spans="1:6">
      <c r="A1616" s="54">
        <v>40960</v>
      </c>
      <c r="B1616" s="55">
        <v>10.669</v>
      </c>
      <c r="C1616" s="55">
        <v>7.1950000000000003</v>
      </c>
      <c r="D1616" s="55">
        <v>9.6270000000000007</v>
      </c>
      <c r="E1616" s="55" t="s">
        <v>527</v>
      </c>
      <c r="F1616" s="55" t="s">
        <v>527</v>
      </c>
    </row>
    <row r="1617" spans="1:6">
      <c r="A1617" s="54">
        <v>40961</v>
      </c>
      <c r="B1617" s="55">
        <v>9.875</v>
      </c>
      <c r="C1617" s="55">
        <v>6.4420000000000002</v>
      </c>
      <c r="D1617" s="55">
        <v>8.8550000000000004</v>
      </c>
      <c r="E1617" s="55" t="s">
        <v>527</v>
      </c>
      <c r="F1617" s="55" t="s">
        <v>527</v>
      </c>
    </row>
    <row r="1618" spans="1:6">
      <c r="A1618" s="54">
        <v>40962</v>
      </c>
      <c r="B1618" s="55">
        <v>9.2089999999999996</v>
      </c>
      <c r="C1618" s="55">
        <v>6.09</v>
      </c>
      <c r="D1618" s="55">
        <v>8.3360000000000003</v>
      </c>
      <c r="E1618" s="55" t="s">
        <v>527</v>
      </c>
      <c r="F1618" s="55" t="s">
        <v>527</v>
      </c>
    </row>
    <row r="1619" spans="1:6">
      <c r="A1619" s="54">
        <v>40963</v>
      </c>
      <c r="B1619" s="55">
        <v>13.102</v>
      </c>
      <c r="C1619" s="55">
        <v>8.5</v>
      </c>
      <c r="D1619" s="55">
        <v>11.968</v>
      </c>
      <c r="E1619" s="55" t="s">
        <v>527</v>
      </c>
      <c r="F1619" s="55" t="s">
        <v>527</v>
      </c>
    </row>
    <row r="1620" spans="1:6">
      <c r="A1620" s="54">
        <v>40964</v>
      </c>
      <c r="B1620" s="55">
        <v>13.327999999999999</v>
      </c>
      <c r="C1620" s="55">
        <v>8.2680000000000007</v>
      </c>
      <c r="D1620" s="55">
        <v>12.076000000000001</v>
      </c>
      <c r="E1620" s="55" t="s">
        <v>527</v>
      </c>
      <c r="F1620" s="55" t="s">
        <v>527</v>
      </c>
    </row>
    <row r="1621" spans="1:6">
      <c r="A1621" s="54">
        <v>40965</v>
      </c>
      <c r="B1621" s="55">
        <v>9.1999999999999993</v>
      </c>
      <c r="C1621" s="55">
        <v>5.859</v>
      </c>
      <c r="D1621" s="55">
        <v>8.1869999999999994</v>
      </c>
      <c r="E1621" s="55" t="s">
        <v>527</v>
      </c>
      <c r="F1621" s="55" t="s">
        <v>527</v>
      </c>
    </row>
    <row r="1622" spans="1:6">
      <c r="A1622" s="54">
        <v>40966</v>
      </c>
      <c r="B1622" s="55">
        <v>7.6630000000000003</v>
      </c>
      <c r="C1622" s="55">
        <v>5.0720000000000001</v>
      </c>
      <c r="D1622" s="55">
        <v>6.8890000000000002</v>
      </c>
      <c r="E1622" s="55" t="s">
        <v>527</v>
      </c>
      <c r="F1622" s="55" t="s">
        <v>527</v>
      </c>
    </row>
    <row r="1623" spans="1:6">
      <c r="A1623" s="54">
        <v>40967</v>
      </c>
      <c r="B1623" s="55">
        <v>8.6739999999999995</v>
      </c>
      <c r="C1623" s="55">
        <v>5.6239999999999997</v>
      </c>
      <c r="D1623" s="55">
        <v>7.8209999999999997</v>
      </c>
      <c r="E1623" s="55" t="s">
        <v>527</v>
      </c>
      <c r="F1623" s="55" t="s">
        <v>527</v>
      </c>
    </row>
    <row r="1624" spans="1:6">
      <c r="A1624" s="54">
        <v>40968</v>
      </c>
      <c r="B1624" s="55">
        <v>9.2460000000000004</v>
      </c>
      <c r="C1624" s="55">
        <v>6.06</v>
      </c>
      <c r="D1624" s="55">
        <v>8.3729999999999993</v>
      </c>
      <c r="E1624" s="55" t="s">
        <v>527</v>
      </c>
      <c r="F1624" s="55" t="s">
        <v>527</v>
      </c>
    </row>
    <row r="1625" spans="1:6">
      <c r="A1625" s="56"/>
    </row>
    <row r="1626" spans="1:6">
      <c r="A1626" s="57" t="s">
        <v>581</v>
      </c>
    </row>
    <row r="1627" spans="1:6">
      <c r="A1627" s="57" t="s">
        <v>529</v>
      </c>
    </row>
    <row r="1628" spans="1:6" ht="18">
      <c r="A1628" s="58">
        <v>333.11900000000003</v>
      </c>
    </row>
    <row r="1629" spans="1:6">
      <c r="A1629" s="57" t="s">
        <v>531</v>
      </c>
    </row>
    <row r="1630" spans="1:6">
      <c r="A1630" s="59">
        <v>181.65</v>
      </c>
    </row>
    <row r="1631" spans="1:6">
      <c r="A1631" s="57" t="s">
        <v>533</v>
      </c>
    </row>
    <row r="1632" spans="1:6">
      <c r="A1632" s="60">
        <v>30317</v>
      </c>
    </row>
    <row r="1633" spans="1:6">
      <c r="A1633" s="61"/>
    </row>
    <row r="1634" spans="1:6" ht="30">
      <c r="A1634" s="52" t="s">
        <v>521</v>
      </c>
      <c r="B1634" s="52" t="s">
        <v>522</v>
      </c>
      <c r="C1634" s="52" t="s">
        <v>523</v>
      </c>
      <c r="D1634" s="53" t="s">
        <v>524</v>
      </c>
      <c r="E1634" s="53" t="s">
        <v>525</v>
      </c>
      <c r="F1634" s="53" t="s">
        <v>526</v>
      </c>
    </row>
    <row r="1635" spans="1:6">
      <c r="A1635" s="54">
        <v>40969</v>
      </c>
      <c r="B1635" s="55">
        <v>8.7279999999999998</v>
      </c>
      <c r="C1635" s="55">
        <v>5.6449999999999996</v>
      </c>
      <c r="D1635" s="55">
        <v>7.9130000000000003</v>
      </c>
      <c r="E1635" s="55" t="s">
        <v>527</v>
      </c>
      <c r="F1635" s="55" t="s">
        <v>527</v>
      </c>
    </row>
    <row r="1636" spans="1:6">
      <c r="A1636" s="54">
        <v>40970</v>
      </c>
      <c r="B1636" s="55">
        <v>12.308999999999999</v>
      </c>
      <c r="C1636" s="55">
        <v>7.9660000000000002</v>
      </c>
      <c r="D1636" s="55">
        <v>11.25</v>
      </c>
      <c r="E1636" s="55" t="s">
        <v>527</v>
      </c>
      <c r="F1636" s="55" t="s">
        <v>527</v>
      </c>
    </row>
    <row r="1637" spans="1:6">
      <c r="A1637" s="54">
        <v>40971</v>
      </c>
      <c r="B1637" s="55">
        <v>14.015000000000001</v>
      </c>
      <c r="C1637" s="55">
        <v>8.6460000000000008</v>
      </c>
      <c r="D1637" s="55">
        <v>12.733000000000001</v>
      </c>
      <c r="E1637" s="55" t="s">
        <v>527</v>
      </c>
      <c r="F1637" s="55" t="s">
        <v>527</v>
      </c>
    </row>
    <row r="1638" spans="1:6">
      <c r="A1638" s="54">
        <v>40972</v>
      </c>
      <c r="B1638" s="55">
        <v>10.631</v>
      </c>
      <c r="C1638" s="55">
        <v>6.5430000000000001</v>
      </c>
      <c r="D1638" s="55">
        <v>9.5510000000000002</v>
      </c>
      <c r="E1638" s="55" t="s">
        <v>527</v>
      </c>
      <c r="F1638" s="55" t="s">
        <v>527</v>
      </c>
    </row>
    <row r="1639" spans="1:6">
      <c r="A1639" s="54">
        <v>40973</v>
      </c>
      <c r="B1639" s="55">
        <v>8.7370000000000001</v>
      </c>
      <c r="C1639" s="55">
        <v>5.9390000000000001</v>
      </c>
      <c r="D1639" s="55">
        <v>7.984</v>
      </c>
      <c r="E1639" s="55" t="s">
        <v>527</v>
      </c>
      <c r="F1639" s="55" t="s">
        <v>527</v>
      </c>
    </row>
    <row r="1640" spans="1:6">
      <c r="A1640" s="54">
        <v>40974</v>
      </c>
      <c r="B1640" s="55">
        <v>9.3279999999999994</v>
      </c>
      <c r="C1640" s="55">
        <v>6.2770000000000001</v>
      </c>
      <c r="D1640" s="55">
        <v>8.5120000000000005</v>
      </c>
      <c r="E1640" s="55" t="s">
        <v>527</v>
      </c>
      <c r="F1640" s="55" t="s">
        <v>527</v>
      </c>
    </row>
    <row r="1641" spans="1:6">
      <c r="A1641" s="54">
        <v>40975</v>
      </c>
      <c r="B1641" s="55">
        <v>10.895</v>
      </c>
      <c r="C1641" s="55">
        <v>7.0750000000000002</v>
      </c>
      <c r="D1641" s="55">
        <v>10.044</v>
      </c>
      <c r="E1641" s="55" t="s">
        <v>527</v>
      </c>
      <c r="F1641" s="55" t="s">
        <v>527</v>
      </c>
    </row>
    <row r="1642" spans="1:6">
      <c r="A1642" s="54">
        <v>40976</v>
      </c>
      <c r="B1642" s="55">
        <v>11.162000000000001</v>
      </c>
      <c r="C1642" s="55">
        <v>7.2759999999999998</v>
      </c>
      <c r="D1642" s="55">
        <v>10.348000000000001</v>
      </c>
      <c r="E1642" s="55" t="s">
        <v>527</v>
      </c>
      <c r="F1642" s="55" t="s">
        <v>527</v>
      </c>
    </row>
    <row r="1643" spans="1:6">
      <c r="A1643" s="54">
        <v>40977</v>
      </c>
      <c r="B1643" s="55">
        <v>14.712</v>
      </c>
      <c r="C1643" s="55">
        <v>9.6050000000000004</v>
      </c>
      <c r="D1643" s="55">
        <v>13.603</v>
      </c>
      <c r="E1643" s="55" t="s">
        <v>527</v>
      </c>
      <c r="F1643" s="55" t="s">
        <v>527</v>
      </c>
    </row>
    <row r="1644" spans="1:6">
      <c r="A1644" s="54">
        <v>40978</v>
      </c>
      <c r="B1644" s="55">
        <v>18.603999999999999</v>
      </c>
      <c r="C1644" s="55">
        <v>11.686</v>
      </c>
      <c r="D1644" s="55">
        <v>17.306999999999999</v>
      </c>
      <c r="E1644" s="55" t="s">
        <v>527</v>
      </c>
      <c r="F1644" s="55" t="s">
        <v>527</v>
      </c>
    </row>
    <row r="1645" spans="1:6">
      <c r="A1645" s="54">
        <v>40979</v>
      </c>
      <c r="B1645" s="55">
        <v>13.436</v>
      </c>
      <c r="C1645" s="55">
        <v>8.3160000000000007</v>
      </c>
      <c r="D1645" s="55">
        <v>12.34</v>
      </c>
      <c r="E1645" s="55" t="s">
        <v>527</v>
      </c>
      <c r="F1645" s="55" t="s">
        <v>527</v>
      </c>
    </row>
    <row r="1646" spans="1:6">
      <c r="A1646" s="54">
        <v>40980</v>
      </c>
      <c r="B1646" s="55">
        <v>11.000999999999999</v>
      </c>
      <c r="C1646" s="55">
        <v>7.1219999999999999</v>
      </c>
      <c r="D1646" s="55">
        <v>10.089</v>
      </c>
      <c r="E1646" s="55" t="s">
        <v>527</v>
      </c>
      <c r="F1646" s="55" t="s">
        <v>527</v>
      </c>
    </row>
    <row r="1647" spans="1:6">
      <c r="A1647" s="54">
        <v>40981</v>
      </c>
      <c r="B1647" s="55">
        <v>10.202</v>
      </c>
      <c r="C1647" s="55">
        <v>6.6390000000000002</v>
      </c>
      <c r="D1647" s="55">
        <v>9.2940000000000005</v>
      </c>
      <c r="E1647" s="55" t="s">
        <v>527</v>
      </c>
      <c r="F1647" s="55" t="s">
        <v>527</v>
      </c>
    </row>
    <row r="1648" spans="1:6">
      <c r="A1648" s="54">
        <v>40982</v>
      </c>
      <c r="B1648" s="55">
        <v>10.388999999999999</v>
      </c>
      <c r="C1648" s="55">
        <v>6.7510000000000003</v>
      </c>
      <c r="D1648" s="55">
        <v>9.4160000000000004</v>
      </c>
      <c r="E1648" s="55" t="s">
        <v>527</v>
      </c>
      <c r="F1648" s="55" t="s">
        <v>527</v>
      </c>
    </row>
    <row r="1649" spans="1:6">
      <c r="A1649" s="54">
        <v>40983</v>
      </c>
      <c r="B1649" s="55">
        <v>11.186</v>
      </c>
      <c r="C1649" s="55">
        <v>7.4630000000000001</v>
      </c>
      <c r="D1649" s="55">
        <v>10.292</v>
      </c>
      <c r="E1649" s="55" t="s">
        <v>527</v>
      </c>
      <c r="F1649" s="55" t="s">
        <v>527</v>
      </c>
    </row>
    <row r="1650" spans="1:6">
      <c r="A1650" s="54">
        <v>40984</v>
      </c>
      <c r="B1650" s="55">
        <v>13.212</v>
      </c>
      <c r="C1650" s="55">
        <v>8.6120000000000001</v>
      </c>
      <c r="D1650" s="55">
        <v>12.116</v>
      </c>
      <c r="E1650" s="55" t="s">
        <v>527</v>
      </c>
      <c r="F1650" s="55" t="s">
        <v>527</v>
      </c>
    </row>
    <row r="1651" spans="1:6">
      <c r="A1651" s="54">
        <v>40985</v>
      </c>
      <c r="B1651" s="55">
        <v>14.672000000000001</v>
      </c>
      <c r="C1651" s="55">
        <v>9.2680000000000007</v>
      </c>
      <c r="D1651" s="55">
        <v>13.442</v>
      </c>
      <c r="E1651" s="55" t="s">
        <v>527</v>
      </c>
      <c r="F1651" s="55" t="s">
        <v>527</v>
      </c>
    </row>
    <row r="1652" spans="1:6">
      <c r="A1652" s="54">
        <v>40986</v>
      </c>
      <c r="B1652" s="55">
        <v>12.221</v>
      </c>
      <c r="C1652" s="55">
        <v>7.6159999999999997</v>
      </c>
      <c r="D1652" s="55">
        <v>11.180999999999999</v>
      </c>
      <c r="E1652" s="55" t="s">
        <v>527</v>
      </c>
      <c r="F1652" s="55" t="s">
        <v>527</v>
      </c>
    </row>
    <row r="1653" spans="1:6">
      <c r="A1653" s="54">
        <v>40987</v>
      </c>
      <c r="B1653" s="55">
        <v>9.6519999999999992</v>
      </c>
      <c r="C1653" s="55">
        <v>6.3380000000000001</v>
      </c>
      <c r="D1653" s="55">
        <v>8.8339999999999996</v>
      </c>
      <c r="E1653" s="55" t="s">
        <v>527</v>
      </c>
      <c r="F1653" s="55" t="s">
        <v>527</v>
      </c>
    </row>
    <row r="1654" spans="1:6">
      <c r="A1654" s="54">
        <v>40988</v>
      </c>
      <c r="B1654" s="55">
        <v>9.3569999999999993</v>
      </c>
      <c r="C1654" s="55">
        <v>6.1420000000000003</v>
      </c>
      <c r="D1654" s="55">
        <v>8.5640000000000001</v>
      </c>
      <c r="E1654" s="55" t="s">
        <v>527</v>
      </c>
      <c r="F1654" s="55" t="s">
        <v>527</v>
      </c>
    </row>
    <row r="1655" spans="1:6">
      <c r="A1655" s="54">
        <v>40989</v>
      </c>
      <c r="B1655" s="55">
        <v>9.9209999999999994</v>
      </c>
      <c r="C1655" s="55">
        <v>6.4989999999999997</v>
      </c>
      <c r="D1655" s="55">
        <v>9.1630000000000003</v>
      </c>
      <c r="E1655" s="55" t="s">
        <v>527</v>
      </c>
      <c r="F1655" s="55" t="s">
        <v>527</v>
      </c>
    </row>
    <row r="1656" spans="1:6">
      <c r="A1656" s="54">
        <v>40990</v>
      </c>
      <c r="B1656" s="55">
        <v>11.052</v>
      </c>
      <c r="C1656" s="55">
        <v>7.3310000000000004</v>
      </c>
      <c r="D1656" s="55">
        <v>10.16</v>
      </c>
      <c r="E1656" s="55" t="s">
        <v>527</v>
      </c>
      <c r="F1656" s="55" t="s">
        <v>527</v>
      </c>
    </row>
    <row r="1657" spans="1:6">
      <c r="A1657" s="54">
        <v>40991</v>
      </c>
      <c r="B1657" s="55">
        <v>12.499000000000001</v>
      </c>
      <c r="C1657" s="55">
        <v>8.2899999999999991</v>
      </c>
      <c r="D1657" s="55">
        <v>11.427</v>
      </c>
      <c r="E1657" s="55" t="s">
        <v>527</v>
      </c>
      <c r="F1657" s="55" t="s">
        <v>527</v>
      </c>
    </row>
    <row r="1658" spans="1:6">
      <c r="A1658" s="54">
        <v>40992</v>
      </c>
      <c r="B1658" s="55">
        <v>14.726000000000001</v>
      </c>
      <c r="C1658" s="55">
        <v>9.1739999999999995</v>
      </c>
      <c r="D1658" s="55">
        <v>13.574</v>
      </c>
      <c r="E1658" s="55" t="s">
        <v>527</v>
      </c>
      <c r="F1658" s="55" t="s">
        <v>527</v>
      </c>
    </row>
    <row r="1659" spans="1:6">
      <c r="A1659" s="54">
        <v>40993</v>
      </c>
      <c r="B1659" s="55">
        <v>11.977</v>
      </c>
      <c r="C1659" s="55">
        <v>7.492</v>
      </c>
      <c r="D1659" s="55">
        <v>11.041</v>
      </c>
      <c r="E1659" s="55" t="s">
        <v>527</v>
      </c>
      <c r="F1659" s="55" t="s">
        <v>527</v>
      </c>
    </row>
    <row r="1660" spans="1:6">
      <c r="A1660" s="54">
        <v>40994</v>
      </c>
      <c r="B1660" s="55">
        <v>9.7899999999999991</v>
      </c>
      <c r="C1660" s="55">
        <v>6.3559999999999999</v>
      </c>
      <c r="D1660" s="55">
        <v>8.9960000000000004</v>
      </c>
      <c r="E1660" s="55" t="s">
        <v>527</v>
      </c>
      <c r="F1660" s="55" t="s">
        <v>527</v>
      </c>
    </row>
    <row r="1661" spans="1:6">
      <c r="A1661" s="54">
        <v>40995</v>
      </c>
      <c r="B1661" s="55">
        <v>9.8789999999999996</v>
      </c>
      <c r="C1661" s="55">
        <v>6.3550000000000004</v>
      </c>
      <c r="D1661" s="55">
        <v>9.0670000000000002</v>
      </c>
      <c r="E1661" s="55" t="s">
        <v>527</v>
      </c>
      <c r="F1661" s="55" t="s">
        <v>527</v>
      </c>
    </row>
    <row r="1662" spans="1:6">
      <c r="A1662" s="54">
        <v>40996</v>
      </c>
      <c r="B1662" s="55">
        <v>10.037000000000001</v>
      </c>
      <c r="C1662" s="55">
        <v>6.4690000000000003</v>
      </c>
      <c r="D1662" s="55">
        <v>9.1010000000000009</v>
      </c>
      <c r="E1662" s="55" t="s">
        <v>527</v>
      </c>
      <c r="F1662" s="55" t="s">
        <v>527</v>
      </c>
    </row>
    <row r="1663" spans="1:6">
      <c r="A1663" s="54">
        <v>40997</v>
      </c>
      <c r="B1663" s="55">
        <v>10.59</v>
      </c>
      <c r="C1663" s="55">
        <v>6.7809999999999997</v>
      </c>
      <c r="D1663" s="55">
        <v>9.6769999999999996</v>
      </c>
      <c r="E1663" s="55" t="s">
        <v>527</v>
      </c>
      <c r="F1663" s="55" t="s">
        <v>527</v>
      </c>
    </row>
    <row r="1664" spans="1:6">
      <c r="A1664" s="54">
        <v>40998</v>
      </c>
      <c r="B1664" s="55">
        <v>13.183</v>
      </c>
      <c r="C1664" s="55">
        <v>8.4649999999999999</v>
      </c>
      <c r="D1664" s="55">
        <v>12.021000000000001</v>
      </c>
      <c r="E1664" s="55" t="s">
        <v>527</v>
      </c>
      <c r="F1664" s="55" t="s">
        <v>527</v>
      </c>
    </row>
    <row r="1665" spans="1:6">
      <c r="A1665" s="54">
        <v>40999</v>
      </c>
      <c r="B1665" s="55">
        <v>15.417</v>
      </c>
      <c r="C1665" s="55">
        <v>9.3989999999999991</v>
      </c>
      <c r="D1665" s="55">
        <v>14.079000000000001</v>
      </c>
      <c r="E1665" s="55" t="s">
        <v>527</v>
      </c>
      <c r="F1665" s="55" t="s">
        <v>527</v>
      </c>
    </row>
    <row r="1666" spans="1:6">
      <c r="A1666" s="56"/>
    </row>
    <row r="1667" spans="1:6">
      <c r="A1667" s="57" t="s">
        <v>582</v>
      </c>
    </row>
    <row r="1668" spans="1:6">
      <c r="A1668" s="57" t="s">
        <v>529</v>
      </c>
    </row>
    <row r="1669" spans="1:6" ht="18">
      <c r="A1669" s="58">
        <v>327.11900000000003</v>
      </c>
    </row>
    <row r="1670" spans="1:6">
      <c r="A1670" s="57" t="s">
        <v>531</v>
      </c>
    </row>
    <row r="1671" spans="1:6">
      <c r="A1671" s="59">
        <v>179.68799999999999</v>
      </c>
    </row>
    <row r="1672" spans="1:6">
      <c r="A1672" s="57" t="s">
        <v>533</v>
      </c>
    </row>
    <row r="1673" spans="1:6">
      <c r="A1673" s="60">
        <v>29952</v>
      </c>
    </row>
    <row r="1674" spans="1:6">
      <c r="A1674" s="61"/>
    </row>
    <row r="1675" spans="1:6" ht="30">
      <c r="A1675" s="52" t="s">
        <v>521</v>
      </c>
      <c r="B1675" s="52" t="s">
        <v>522</v>
      </c>
      <c r="C1675" s="52" t="s">
        <v>523</v>
      </c>
      <c r="D1675" s="53" t="s">
        <v>524</v>
      </c>
      <c r="E1675" s="53" t="s">
        <v>525</v>
      </c>
      <c r="F1675" s="53" t="s">
        <v>526</v>
      </c>
    </row>
    <row r="1676" spans="1:6">
      <c r="A1676" s="54">
        <v>41000</v>
      </c>
      <c r="B1676" s="55">
        <v>12.84</v>
      </c>
      <c r="C1676" s="55">
        <v>7.9539999999999997</v>
      </c>
      <c r="D1676" s="55">
        <v>11.689</v>
      </c>
      <c r="E1676" s="55" t="s">
        <v>527</v>
      </c>
      <c r="F1676" s="55" t="s">
        <v>527</v>
      </c>
    </row>
    <row r="1677" spans="1:6">
      <c r="A1677" s="54">
        <v>41001</v>
      </c>
      <c r="B1677" s="55">
        <v>10.927</v>
      </c>
      <c r="C1677" s="55">
        <v>7.0810000000000004</v>
      </c>
      <c r="D1677" s="55">
        <v>9.9429999999999996</v>
      </c>
      <c r="E1677" s="55" t="s">
        <v>527</v>
      </c>
      <c r="F1677" s="55" t="s">
        <v>527</v>
      </c>
    </row>
    <row r="1678" spans="1:6">
      <c r="A1678" s="54">
        <v>41002</v>
      </c>
      <c r="B1678" s="55">
        <v>11.193</v>
      </c>
      <c r="C1678" s="55">
        <v>7.2160000000000002</v>
      </c>
      <c r="D1678" s="55">
        <v>10.132999999999999</v>
      </c>
      <c r="E1678" s="55" t="s">
        <v>527</v>
      </c>
      <c r="F1678" s="55" t="s">
        <v>527</v>
      </c>
    </row>
    <row r="1679" spans="1:6">
      <c r="A1679" s="54">
        <v>41003</v>
      </c>
      <c r="B1679" s="55">
        <v>11.8</v>
      </c>
      <c r="C1679" s="55">
        <v>7.5030000000000001</v>
      </c>
      <c r="D1679" s="55">
        <v>10.624000000000001</v>
      </c>
      <c r="E1679" s="55" t="s">
        <v>527</v>
      </c>
      <c r="F1679" s="55" t="s">
        <v>527</v>
      </c>
    </row>
    <row r="1680" spans="1:6">
      <c r="A1680" s="54">
        <v>41004</v>
      </c>
      <c r="B1680" s="55">
        <v>12.013</v>
      </c>
      <c r="C1680" s="55">
        <v>7.5880000000000001</v>
      </c>
      <c r="D1680" s="55">
        <v>10.888</v>
      </c>
      <c r="E1680" s="55" t="s">
        <v>527</v>
      </c>
      <c r="F1680" s="55" t="s">
        <v>527</v>
      </c>
    </row>
    <row r="1681" spans="1:6">
      <c r="A1681" s="54">
        <v>41005</v>
      </c>
      <c r="B1681" s="55">
        <v>13.603999999999999</v>
      </c>
      <c r="C1681" s="55">
        <v>8.5489999999999995</v>
      </c>
      <c r="D1681" s="55">
        <v>12.374000000000001</v>
      </c>
      <c r="E1681" s="55" t="s">
        <v>527</v>
      </c>
      <c r="F1681" s="55" t="s">
        <v>527</v>
      </c>
    </row>
    <row r="1682" spans="1:6">
      <c r="A1682" s="54">
        <v>41006</v>
      </c>
      <c r="B1682" s="55">
        <v>13.994</v>
      </c>
      <c r="C1682" s="55">
        <v>8.5749999999999993</v>
      </c>
      <c r="D1682" s="55">
        <v>12.76</v>
      </c>
      <c r="E1682" s="55" t="s">
        <v>527</v>
      </c>
      <c r="F1682" s="55" t="s">
        <v>527</v>
      </c>
    </row>
    <row r="1683" spans="1:6">
      <c r="A1683" s="54">
        <v>41007</v>
      </c>
      <c r="B1683" s="55">
        <v>12.811999999999999</v>
      </c>
      <c r="C1683" s="55">
        <v>8.0139999999999993</v>
      </c>
      <c r="D1683" s="55">
        <v>11.651999999999999</v>
      </c>
      <c r="E1683" s="55" t="s">
        <v>527</v>
      </c>
      <c r="F1683" s="55" t="s">
        <v>527</v>
      </c>
    </row>
    <row r="1684" spans="1:6">
      <c r="A1684" s="54">
        <v>41008</v>
      </c>
      <c r="B1684" s="55">
        <v>11.875999999999999</v>
      </c>
      <c r="C1684" s="55">
        <v>7.5179999999999998</v>
      </c>
      <c r="D1684" s="55">
        <v>10.813000000000001</v>
      </c>
      <c r="E1684" s="55" t="s">
        <v>527</v>
      </c>
      <c r="F1684" s="55" t="s">
        <v>527</v>
      </c>
    </row>
    <row r="1685" spans="1:6">
      <c r="A1685" s="54">
        <v>41009</v>
      </c>
      <c r="B1685" s="55">
        <v>11.092000000000001</v>
      </c>
      <c r="C1685" s="55">
        <v>7.0880000000000001</v>
      </c>
      <c r="D1685" s="55">
        <v>10.124000000000001</v>
      </c>
      <c r="E1685" s="55" t="s">
        <v>527</v>
      </c>
      <c r="F1685" s="55" t="s">
        <v>527</v>
      </c>
    </row>
    <row r="1686" spans="1:6">
      <c r="A1686" s="54">
        <v>41010</v>
      </c>
      <c r="B1686" s="55">
        <v>10.786</v>
      </c>
      <c r="C1686" s="55">
        <v>6.9390000000000001</v>
      </c>
      <c r="D1686" s="55">
        <v>9.7029999999999994</v>
      </c>
      <c r="E1686" s="55" t="s">
        <v>527</v>
      </c>
      <c r="F1686" s="55" t="s">
        <v>527</v>
      </c>
    </row>
    <row r="1687" spans="1:6">
      <c r="A1687" s="54">
        <v>41011</v>
      </c>
      <c r="B1687" s="55">
        <v>10.69</v>
      </c>
      <c r="C1687" s="55">
        <v>6.9539999999999997</v>
      </c>
      <c r="D1687" s="55">
        <v>9.6760000000000002</v>
      </c>
      <c r="E1687" s="55" t="s">
        <v>527</v>
      </c>
      <c r="F1687" s="55" t="s">
        <v>527</v>
      </c>
    </row>
    <row r="1688" spans="1:6">
      <c r="A1688" s="54">
        <v>41012</v>
      </c>
      <c r="B1688" s="55">
        <v>12.488</v>
      </c>
      <c r="C1688" s="55">
        <v>8.0519999999999996</v>
      </c>
      <c r="D1688" s="55">
        <v>11.417</v>
      </c>
      <c r="E1688" s="55" t="s">
        <v>527</v>
      </c>
      <c r="F1688" s="55" t="s">
        <v>527</v>
      </c>
    </row>
    <row r="1689" spans="1:6">
      <c r="A1689" s="54">
        <v>41013</v>
      </c>
      <c r="B1689" s="55">
        <v>14.387</v>
      </c>
      <c r="C1689" s="55">
        <v>8.9960000000000004</v>
      </c>
      <c r="D1689" s="55">
        <v>13.211</v>
      </c>
      <c r="E1689" s="55" t="s">
        <v>527</v>
      </c>
      <c r="F1689" s="55" t="s">
        <v>527</v>
      </c>
    </row>
    <row r="1690" spans="1:6">
      <c r="A1690" s="54">
        <v>41014</v>
      </c>
      <c r="B1690" s="55">
        <v>12.295</v>
      </c>
      <c r="C1690" s="55">
        <v>7.7619999999999996</v>
      </c>
      <c r="D1690" s="55">
        <v>11.138</v>
      </c>
      <c r="E1690" s="55" t="s">
        <v>527</v>
      </c>
      <c r="F1690" s="55" t="s">
        <v>527</v>
      </c>
    </row>
    <row r="1691" spans="1:6">
      <c r="A1691" s="54">
        <v>41015</v>
      </c>
      <c r="B1691" s="55">
        <v>9.9320000000000004</v>
      </c>
      <c r="C1691" s="55">
        <v>6.4379999999999997</v>
      </c>
      <c r="D1691" s="55">
        <v>9.0500000000000007</v>
      </c>
      <c r="E1691" s="55" t="s">
        <v>527</v>
      </c>
      <c r="F1691" s="55" t="s">
        <v>527</v>
      </c>
    </row>
    <row r="1692" spans="1:6">
      <c r="A1692" s="54">
        <v>41016</v>
      </c>
      <c r="B1692" s="55">
        <v>10.220000000000001</v>
      </c>
      <c r="C1692" s="55">
        <v>6.6</v>
      </c>
      <c r="D1692" s="55">
        <v>9.2769999999999992</v>
      </c>
      <c r="E1692" s="55" t="s">
        <v>527</v>
      </c>
      <c r="F1692" s="55" t="s">
        <v>527</v>
      </c>
    </row>
    <row r="1693" spans="1:6">
      <c r="A1693" s="54">
        <v>41017</v>
      </c>
      <c r="B1693" s="55">
        <v>10.262</v>
      </c>
      <c r="C1693" s="55">
        <v>6.6760000000000002</v>
      </c>
      <c r="D1693" s="55">
        <v>9.3480000000000008</v>
      </c>
      <c r="E1693" s="55" t="s">
        <v>527</v>
      </c>
      <c r="F1693" s="55" t="s">
        <v>527</v>
      </c>
    </row>
    <row r="1694" spans="1:6">
      <c r="A1694" s="54">
        <v>41018</v>
      </c>
      <c r="B1694" s="55">
        <v>10.221</v>
      </c>
      <c r="C1694" s="55">
        <v>6.6239999999999997</v>
      </c>
      <c r="D1694" s="55">
        <v>9.3010000000000002</v>
      </c>
      <c r="E1694" s="55" t="s">
        <v>527</v>
      </c>
      <c r="F1694" s="55" t="s">
        <v>527</v>
      </c>
    </row>
    <row r="1695" spans="1:6">
      <c r="A1695" s="54">
        <v>41019</v>
      </c>
      <c r="B1695" s="55">
        <v>13.573</v>
      </c>
      <c r="C1695" s="55">
        <v>8.8149999999999995</v>
      </c>
      <c r="D1695" s="55">
        <v>12.422000000000001</v>
      </c>
      <c r="E1695" s="55" t="s">
        <v>527</v>
      </c>
      <c r="F1695" s="55" t="s">
        <v>527</v>
      </c>
    </row>
    <row r="1696" spans="1:6">
      <c r="A1696" s="54">
        <v>41020</v>
      </c>
      <c r="B1696" s="55">
        <v>15.151</v>
      </c>
      <c r="C1696" s="55">
        <v>9.4</v>
      </c>
      <c r="D1696" s="55">
        <v>13.894</v>
      </c>
      <c r="E1696" s="55" t="s">
        <v>527</v>
      </c>
      <c r="F1696" s="55" t="s">
        <v>527</v>
      </c>
    </row>
    <row r="1697" spans="1:6">
      <c r="A1697" s="54">
        <v>41021</v>
      </c>
      <c r="B1697" s="55">
        <v>11.968999999999999</v>
      </c>
      <c r="C1697" s="55">
        <v>7.4969999999999999</v>
      </c>
      <c r="D1697" s="55">
        <v>11.015000000000001</v>
      </c>
      <c r="E1697" s="55" t="s">
        <v>527</v>
      </c>
      <c r="F1697" s="55" t="s">
        <v>527</v>
      </c>
    </row>
    <row r="1698" spans="1:6">
      <c r="A1698" s="54">
        <v>41022</v>
      </c>
      <c r="B1698" s="55">
        <v>10.154999999999999</v>
      </c>
      <c r="C1698" s="55">
        <v>6.5739999999999998</v>
      </c>
      <c r="D1698" s="55">
        <v>9.234</v>
      </c>
      <c r="E1698" s="55" t="s">
        <v>527</v>
      </c>
      <c r="F1698" s="55" t="s">
        <v>527</v>
      </c>
    </row>
    <row r="1699" spans="1:6">
      <c r="A1699" s="54">
        <v>41023</v>
      </c>
      <c r="B1699" s="55">
        <v>10.566000000000001</v>
      </c>
      <c r="C1699" s="55">
        <v>6.7279999999999998</v>
      </c>
      <c r="D1699" s="55">
        <v>9.6059999999999999</v>
      </c>
      <c r="E1699" s="55" t="s">
        <v>527</v>
      </c>
      <c r="F1699" s="55" t="s">
        <v>527</v>
      </c>
    </row>
    <row r="1700" spans="1:6">
      <c r="A1700" s="54">
        <v>41024</v>
      </c>
      <c r="B1700" s="55">
        <v>10.183</v>
      </c>
      <c r="C1700" s="55">
        <v>6.7089999999999996</v>
      </c>
      <c r="D1700" s="55">
        <v>9.2240000000000002</v>
      </c>
      <c r="E1700" s="55" t="s">
        <v>527</v>
      </c>
      <c r="F1700" s="55" t="s">
        <v>527</v>
      </c>
    </row>
    <row r="1701" spans="1:6">
      <c r="A1701" s="54">
        <v>41025</v>
      </c>
      <c r="B1701" s="55">
        <v>9.9190000000000005</v>
      </c>
      <c r="C1701" s="55">
        <v>6.4870000000000001</v>
      </c>
      <c r="D1701" s="55">
        <v>9.0879999999999992</v>
      </c>
      <c r="E1701" s="55" t="s">
        <v>527</v>
      </c>
      <c r="F1701" s="55" t="s">
        <v>527</v>
      </c>
    </row>
    <row r="1702" spans="1:6">
      <c r="A1702" s="54">
        <v>41026</v>
      </c>
      <c r="B1702" s="55">
        <v>12.709</v>
      </c>
      <c r="C1702" s="55">
        <v>8.1150000000000002</v>
      </c>
      <c r="D1702" s="55">
        <v>11.622999999999999</v>
      </c>
      <c r="E1702" s="55" t="s">
        <v>527</v>
      </c>
      <c r="F1702" s="55" t="s">
        <v>527</v>
      </c>
    </row>
    <row r="1703" spans="1:6">
      <c r="A1703" s="54">
        <v>41027</v>
      </c>
      <c r="B1703" s="55">
        <v>15.26</v>
      </c>
      <c r="C1703" s="55">
        <v>9.5299999999999994</v>
      </c>
      <c r="D1703" s="55">
        <v>14.058999999999999</v>
      </c>
      <c r="E1703" s="55" t="s">
        <v>527</v>
      </c>
      <c r="F1703" s="55" t="s">
        <v>527</v>
      </c>
    </row>
    <row r="1704" spans="1:6">
      <c r="A1704" s="54">
        <v>41028</v>
      </c>
      <c r="B1704" s="55">
        <v>13.172000000000001</v>
      </c>
      <c r="C1704" s="55">
        <v>8.3719999999999999</v>
      </c>
      <c r="D1704" s="55">
        <v>12.055</v>
      </c>
      <c r="E1704" s="55" t="s">
        <v>527</v>
      </c>
      <c r="F1704" s="55" t="s">
        <v>527</v>
      </c>
    </row>
    <row r="1705" spans="1:6">
      <c r="A1705" s="54">
        <v>41029</v>
      </c>
      <c r="B1705" s="55">
        <v>12.789</v>
      </c>
      <c r="C1705" s="55">
        <v>8.24</v>
      </c>
      <c r="D1705" s="55">
        <v>11.778</v>
      </c>
      <c r="E1705" s="55" t="s">
        <v>527</v>
      </c>
      <c r="F1705" s="55" t="s">
        <v>527</v>
      </c>
    </row>
    <row r="1706" spans="1:6">
      <c r="A1706" s="56"/>
    </row>
    <row r="1707" spans="1:6">
      <c r="A1707" s="57" t="s">
        <v>583</v>
      </c>
    </row>
    <row r="1708" spans="1:6">
      <c r="A1708" s="57" t="s">
        <v>529</v>
      </c>
    </row>
    <row r="1709" spans="1:6" ht="18">
      <c r="A1709" s="58">
        <v>318.66399999999999</v>
      </c>
    </row>
    <row r="1710" spans="1:6">
      <c r="A1710" s="57" t="s">
        <v>531</v>
      </c>
    </row>
    <row r="1711" spans="1:6">
      <c r="A1711" s="59">
        <v>173.554</v>
      </c>
    </row>
    <row r="1712" spans="1:6">
      <c r="A1712" s="57" t="s">
        <v>533</v>
      </c>
    </row>
    <row r="1713" spans="1:6">
      <c r="A1713" s="60">
        <v>30682</v>
      </c>
    </row>
    <row r="1714" spans="1:6">
      <c r="A1714" s="61"/>
    </row>
    <row r="1715" spans="1:6" ht="30">
      <c r="A1715" s="52" t="s">
        <v>521</v>
      </c>
      <c r="B1715" s="52" t="s">
        <v>522</v>
      </c>
      <c r="C1715" s="52" t="s">
        <v>523</v>
      </c>
      <c r="D1715" s="53" t="s">
        <v>524</v>
      </c>
      <c r="E1715" s="53" t="s">
        <v>525</v>
      </c>
      <c r="F1715" s="53" t="s">
        <v>526</v>
      </c>
    </row>
    <row r="1716" spans="1:6">
      <c r="A1716" s="54">
        <v>41030</v>
      </c>
      <c r="B1716" s="55">
        <v>11.452</v>
      </c>
      <c r="C1716" s="55">
        <v>7.12</v>
      </c>
      <c r="D1716" s="55">
        <v>10.526999999999999</v>
      </c>
      <c r="E1716" s="55" t="s">
        <v>527</v>
      </c>
      <c r="F1716" s="55" t="s">
        <v>527</v>
      </c>
    </row>
    <row r="1717" spans="1:6">
      <c r="A1717" s="54">
        <v>41031</v>
      </c>
      <c r="B1717" s="55">
        <v>10.231</v>
      </c>
      <c r="C1717" s="55">
        <v>6.7569999999999997</v>
      </c>
      <c r="D1717" s="55">
        <v>9.2739999999999991</v>
      </c>
      <c r="E1717" s="55" t="s">
        <v>527</v>
      </c>
      <c r="F1717" s="55" t="s">
        <v>527</v>
      </c>
    </row>
    <row r="1718" spans="1:6">
      <c r="A1718" s="54">
        <v>41032</v>
      </c>
      <c r="B1718" s="55">
        <v>10.021000000000001</v>
      </c>
      <c r="C1718" s="55">
        <v>6.5449999999999999</v>
      </c>
      <c r="D1718" s="55">
        <v>9.1519999999999992</v>
      </c>
      <c r="E1718" s="55" t="s">
        <v>527</v>
      </c>
      <c r="F1718" s="55" t="s">
        <v>527</v>
      </c>
    </row>
    <row r="1719" spans="1:6">
      <c r="A1719" s="54">
        <v>41033</v>
      </c>
      <c r="B1719" s="55">
        <v>12.72</v>
      </c>
      <c r="C1719" s="55">
        <v>8.3279999999999994</v>
      </c>
      <c r="D1719" s="55">
        <v>11.631</v>
      </c>
      <c r="E1719" s="55" t="s">
        <v>527</v>
      </c>
      <c r="F1719" s="55" t="s">
        <v>527</v>
      </c>
    </row>
    <row r="1720" spans="1:6">
      <c r="A1720" s="54">
        <v>41034</v>
      </c>
      <c r="B1720" s="55">
        <v>15.065</v>
      </c>
      <c r="C1720" s="55">
        <v>9.49</v>
      </c>
      <c r="D1720" s="55">
        <v>13.875999999999999</v>
      </c>
      <c r="E1720" s="55" t="s">
        <v>527</v>
      </c>
      <c r="F1720" s="55" t="s">
        <v>527</v>
      </c>
    </row>
    <row r="1721" spans="1:6">
      <c r="A1721" s="54">
        <v>41035</v>
      </c>
      <c r="B1721" s="55">
        <v>12.881</v>
      </c>
      <c r="C1721" s="55">
        <v>8.0969999999999995</v>
      </c>
      <c r="D1721" s="55">
        <v>11.849</v>
      </c>
      <c r="E1721" s="55" t="s">
        <v>527</v>
      </c>
      <c r="F1721" s="55" t="s">
        <v>527</v>
      </c>
    </row>
    <row r="1722" spans="1:6">
      <c r="A1722" s="54">
        <v>41036</v>
      </c>
      <c r="B1722" s="55">
        <v>10.108000000000001</v>
      </c>
      <c r="C1722" s="55">
        <v>6.7220000000000004</v>
      </c>
      <c r="D1722" s="55">
        <v>9.2560000000000002</v>
      </c>
      <c r="E1722" s="55" t="s">
        <v>527</v>
      </c>
      <c r="F1722" s="55" t="s">
        <v>527</v>
      </c>
    </row>
    <row r="1723" spans="1:6">
      <c r="A1723" s="54">
        <v>41037</v>
      </c>
      <c r="B1723" s="55">
        <v>10.023</v>
      </c>
      <c r="C1723" s="55">
        <v>6.673</v>
      </c>
      <c r="D1723" s="55">
        <v>9.1760000000000002</v>
      </c>
      <c r="E1723" s="55" t="s">
        <v>527</v>
      </c>
      <c r="F1723" s="55" t="s">
        <v>527</v>
      </c>
    </row>
    <row r="1724" spans="1:6">
      <c r="A1724" s="54">
        <v>41038</v>
      </c>
      <c r="B1724" s="55">
        <v>10.32</v>
      </c>
      <c r="C1724" s="55">
        <v>6.72</v>
      </c>
      <c r="D1724" s="55">
        <v>9.4190000000000005</v>
      </c>
      <c r="E1724" s="55" t="s">
        <v>527</v>
      </c>
      <c r="F1724" s="55" t="s">
        <v>527</v>
      </c>
    </row>
    <row r="1725" spans="1:6">
      <c r="A1725" s="54">
        <v>41039</v>
      </c>
      <c r="B1725" s="55">
        <v>10.352</v>
      </c>
      <c r="C1725" s="55">
        <v>6.7370000000000001</v>
      </c>
      <c r="D1725" s="55">
        <v>9.5</v>
      </c>
      <c r="E1725" s="55" t="s">
        <v>527</v>
      </c>
      <c r="F1725" s="55" t="s">
        <v>527</v>
      </c>
    </row>
    <row r="1726" spans="1:6">
      <c r="A1726" s="54">
        <v>41040</v>
      </c>
      <c r="B1726" s="55">
        <v>12.912000000000001</v>
      </c>
      <c r="C1726" s="55">
        <v>8.2989999999999995</v>
      </c>
      <c r="D1726" s="55">
        <v>11.847</v>
      </c>
      <c r="E1726" s="55" t="s">
        <v>527</v>
      </c>
      <c r="F1726" s="55" t="s">
        <v>527</v>
      </c>
    </row>
    <row r="1727" spans="1:6">
      <c r="A1727" s="54">
        <v>41041</v>
      </c>
      <c r="B1727" s="55">
        <v>14.23</v>
      </c>
      <c r="C1727" s="55">
        <v>8.7859999999999996</v>
      </c>
      <c r="D1727" s="55">
        <v>13.231999999999999</v>
      </c>
      <c r="E1727" s="55" t="s">
        <v>527</v>
      </c>
      <c r="F1727" s="55" t="s">
        <v>527</v>
      </c>
    </row>
    <row r="1728" spans="1:6">
      <c r="A1728" s="54">
        <v>41042</v>
      </c>
      <c r="B1728" s="55">
        <v>10.478999999999999</v>
      </c>
      <c r="C1728" s="55">
        <v>6.6459999999999999</v>
      </c>
      <c r="D1728" s="55">
        <v>9.6259999999999994</v>
      </c>
      <c r="E1728" s="55" t="s">
        <v>527</v>
      </c>
      <c r="F1728" s="55" t="s">
        <v>527</v>
      </c>
    </row>
    <row r="1729" spans="1:6">
      <c r="A1729" s="54">
        <v>41043</v>
      </c>
      <c r="B1729" s="55">
        <v>9.4700000000000006</v>
      </c>
      <c r="C1729" s="55">
        <v>6.1710000000000003</v>
      </c>
      <c r="D1729" s="55">
        <v>8.7729999999999997</v>
      </c>
      <c r="E1729" s="55" t="s">
        <v>527</v>
      </c>
      <c r="F1729" s="55" t="s">
        <v>527</v>
      </c>
    </row>
    <row r="1730" spans="1:6">
      <c r="A1730" s="54">
        <v>41044</v>
      </c>
      <c r="B1730" s="55">
        <v>9.3640000000000008</v>
      </c>
      <c r="C1730" s="55">
        <v>6.069</v>
      </c>
      <c r="D1730" s="55">
        <v>8.6809999999999992</v>
      </c>
      <c r="E1730" s="55" t="s">
        <v>527</v>
      </c>
      <c r="F1730" s="55" t="s">
        <v>527</v>
      </c>
    </row>
    <row r="1731" spans="1:6">
      <c r="A1731" s="54">
        <v>41045</v>
      </c>
      <c r="B1731" s="55">
        <v>9.9719999999999995</v>
      </c>
      <c r="C1731" s="55">
        <v>6.508</v>
      </c>
      <c r="D1731" s="55">
        <v>9.1720000000000006</v>
      </c>
      <c r="E1731" s="55" t="s">
        <v>527</v>
      </c>
      <c r="F1731" s="55" t="s">
        <v>527</v>
      </c>
    </row>
    <row r="1732" spans="1:6">
      <c r="A1732" s="54">
        <v>41046</v>
      </c>
      <c r="B1732" s="55">
        <v>10.194000000000001</v>
      </c>
      <c r="C1732" s="55">
        <v>6.5220000000000002</v>
      </c>
      <c r="D1732" s="55">
        <v>9.2629999999999999</v>
      </c>
      <c r="E1732" s="55" t="s">
        <v>527</v>
      </c>
      <c r="F1732" s="55" t="s">
        <v>527</v>
      </c>
    </row>
    <row r="1733" spans="1:6">
      <c r="A1733" s="54">
        <v>41047</v>
      </c>
      <c r="B1733" s="55">
        <v>13.137</v>
      </c>
      <c r="C1733" s="55">
        <v>8.4469999999999992</v>
      </c>
      <c r="D1733" s="55">
        <v>12.087</v>
      </c>
      <c r="E1733" s="55" t="s">
        <v>527</v>
      </c>
      <c r="F1733" s="55" t="s">
        <v>527</v>
      </c>
    </row>
    <row r="1734" spans="1:6">
      <c r="A1734" s="54">
        <v>41048</v>
      </c>
      <c r="B1734" s="55">
        <v>14.193</v>
      </c>
      <c r="C1734" s="55">
        <v>8.7739999999999991</v>
      </c>
      <c r="D1734" s="55">
        <v>12.978</v>
      </c>
      <c r="E1734" s="55" t="s">
        <v>527</v>
      </c>
      <c r="F1734" s="55" t="s">
        <v>527</v>
      </c>
    </row>
    <row r="1735" spans="1:6">
      <c r="A1735" s="54">
        <v>41049</v>
      </c>
      <c r="B1735" s="55">
        <v>11.308999999999999</v>
      </c>
      <c r="C1735" s="55">
        <v>6.9989999999999997</v>
      </c>
      <c r="D1735" s="55">
        <v>10.295999999999999</v>
      </c>
      <c r="E1735" s="55" t="s">
        <v>527</v>
      </c>
      <c r="F1735" s="55" t="s">
        <v>527</v>
      </c>
    </row>
    <row r="1736" spans="1:6">
      <c r="A1736" s="54">
        <v>41050</v>
      </c>
      <c r="B1736" s="55">
        <v>9.2669999999999995</v>
      </c>
      <c r="C1736" s="55">
        <v>5.9480000000000004</v>
      </c>
      <c r="D1736" s="55">
        <v>8.375</v>
      </c>
      <c r="E1736" s="55" t="s">
        <v>527</v>
      </c>
      <c r="F1736" s="55" t="s">
        <v>527</v>
      </c>
    </row>
    <row r="1737" spans="1:6">
      <c r="A1737" s="54">
        <v>41051</v>
      </c>
      <c r="B1737" s="55">
        <v>9.8450000000000006</v>
      </c>
      <c r="C1737" s="55">
        <v>6.3330000000000002</v>
      </c>
      <c r="D1737" s="55">
        <v>8.9269999999999996</v>
      </c>
      <c r="E1737" s="55" t="s">
        <v>527</v>
      </c>
      <c r="F1737" s="55" t="s">
        <v>527</v>
      </c>
    </row>
    <row r="1738" spans="1:6">
      <c r="A1738" s="54">
        <v>41052</v>
      </c>
      <c r="B1738" s="55">
        <v>10.116</v>
      </c>
      <c r="C1738" s="55">
        <v>6.5149999999999997</v>
      </c>
      <c r="D1738" s="55">
        <v>9.3079999999999998</v>
      </c>
      <c r="E1738" s="55" t="s">
        <v>527</v>
      </c>
      <c r="F1738" s="55" t="s">
        <v>527</v>
      </c>
    </row>
    <row r="1739" spans="1:6">
      <c r="A1739" s="54">
        <v>41053</v>
      </c>
      <c r="B1739" s="55">
        <v>10.16</v>
      </c>
      <c r="C1739" s="55">
        <v>6.4169999999999998</v>
      </c>
      <c r="D1739" s="55">
        <v>9.3079999999999998</v>
      </c>
      <c r="E1739" s="55" t="s">
        <v>527</v>
      </c>
      <c r="F1739" s="55" t="s">
        <v>527</v>
      </c>
    </row>
    <row r="1740" spans="1:6">
      <c r="A1740" s="54">
        <v>41054</v>
      </c>
      <c r="B1740" s="55">
        <v>13.087</v>
      </c>
      <c r="C1740" s="55">
        <v>8.3040000000000003</v>
      </c>
      <c r="D1740" s="55">
        <v>12.039</v>
      </c>
      <c r="E1740" s="55" t="s">
        <v>527</v>
      </c>
      <c r="F1740" s="55" t="s">
        <v>527</v>
      </c>
    </row>
    <row r="1741" spans="1:6">
      <c r="A1741" s="54">
        <v>41055</v>
      </c>
      <c r="B1741" s="55">
        <v>13.914</v>
      </c>
      <c r="C1741" s="55">
        <v>8.5589999999999993</v>
      </c>
      <c r="D1741" s="55">
        <v>12.862</v>
      </c>
      <c r="E1741" s="55" t="s">
        <v>527</v>
      </c>
      <c r="F1741" s="55" t="s">
        <v>527</v>
      </c>
    </row>
    <row r="1742" spans="1:6">
      <c r="A1742" s="54">
        <v>41056</v>
      </c>
      <c r="B1742" s="55">
        <v>11.821999999999999</v>
      </c>
      <c r="C1742" s="55">
        <v>7.266</v>
      </c>
      <c r="D1742" s="55">
        <v>10.867000000000001</v>
      </c>
      <c r="E1742" s="55" t="s">
        <v>527</v>
      </c>
      <c r="F1742" s="55" t="s">
        <v>527</v>
      </c>
    </row>
    <row r="1743" spans="1:6">
      <c r="A1743" s="54">
        <v>41057</v>
      </c>
      <c r="B1743" s="55">
        <v>10.552</v>
      </c>
      <c r="C1743" s="55">
        <v>6.5519999999999996</v>
      </c>
      <c r="D1743" s="55">
        <v>9.61</v>
      </c>
      <c r="E1743" s="55" t="s">
        <v>527</v>
      </c>
      <c r="F1743" s="55" t="s">
        <v>527</v>
      </c>
    </row>
    <row r="1744" spans="1:6">
      <c r="A1744" s="54">
        <v>41058</v>
      </c>
      <c r="B1744" s="55">
        <v>9.6259999999999994</v>
      </c>
      <c r="C1744" s="55">
        <v>6.18</v>
      </c>
      <c r="D1744" s="55">
        <v>8.7750000000000004</v>
      </c>
      <c r="E1744" s="55" t="s">
        <v>527</v>
      </c>
      <c r="F1744" s="55" t="s">
        <v>527</v>
      </c>
    </row>
    <row r="1745" spans="1:6">
      <c r="A1745" s="54">
        <v>41059</v>
      </c>
      <c r="B1745" s="55">
        <v>10.097</v>
      </c>
      <c r="C1745" s="55">
        <v>6.5190000000000001</v>
      </c>
      <c r="D1745" s="55">
        <v>9.2439999999999998</v>
      </c>
      <c r="E1745" s="55" t="s">
        <v>527</v>
      </c>
      <c r="F1745" s="55" t="s">
        <v>527</v>
      </c>
    </row>
    <row r="1746" spans="1:6">
      <c r="A1746" s="54">
        <v>41060</v>
      </c>
      <c r="B1746" s="55">
        <v>10.738</v>
      </c>
      <c r="C1746" s="55">
        <v>6.8890000000000002</v>
      </c>
      <c r="D1746" s="55">
        <v>9.734</v>
      </c>
      <c r="E1746" s="55" t="s">
        <v>527</v>
      </c>
      <c r="F1746" s="55" t="s">
        <v>527</v>
      </c>
    </row>
    <row r="1747" spans="1:6">
      <c r="A1747" s="56"/>
    </row>
    <row r="1748" spans="1:6">
      <c r="A1748" s="57" t="s">
        <v>584</v>
      </c>
    </row>
    <row r="1749" spans="1:6">
      <c r="A1749" s="57" t="s">
        <v>529</v>
      </c>
    </row>
    <row r="1750" spans="1:6" ht="18">
      <c r="A1750" s="58">
        <v>303.60700000000003</v>
      </c>
    </row>
    <row r="1751" spans="1:6">
      <c r="A1751" s="57" t="s">
        <v>531</v>
      </c>
    </row>
    <row r="1752" spans="1:6">
      <c r="A1752" s="59">
        <v>164.779</v>
      </c>
    </row>
    <row r="1753" spans="1:6">
      <c r="A1753" s="57" t="s">
        <v>533</v>
      </c>
    </row>
    <row r="1754" spans="1:6">
      <c r="A1754" s="60">
        <v>30682</v>
      </c>
    </row>
    <row r="1755" spans="1:6">
      <c r="A1755" s="61"/>
    </row>
    <row r="1756" spans="1:6" ht="30">
      <c r="A1756" s="52" t="s">
        <v>521</v>
      </c>
      <c r="B1756" s="52" t="s">
        <v>522</v>
      </c>
      <c r="C1756" s="52" t="s">
        <v>523</v>
      </c>
      <c r="D1756" s="53" t="s">
        <v>524</v>
      </c>
      <c r="E1756" s="53" t="s">
        <v>525</v>
      </c>
      <c r="F1756" s="53" t="s">
        <v>526</v>
      </c>
    </row>
    <row r="1757" spans="1:6">
      <c r="A1757" s="54">
        <v>41061</v>
      </c>
      <c r="B1757" s="55">
        <v>12.61</v>
      </c>
      <c r="C1757" s="55">
        <v>8.1199999999999992</v>
      </c>
      <c r="D1757" s="55">
        <v>11.537000000000001</v>
      </c>
      <c r="E1757" s="55" t="s">
        <v>527</v>
      </c>
      <c r="F1757" s="55" t="s">
        <v>527</v>
      </c>
    </row>
    <row r="1758" spans="1:6">
      <c r="A1758" s="54">
        <v>41062</v>
      </c>
      <c r="B1758" s="55">
        <v>13.263</v>
      </c>
      <c r="C1758" s="55">
        <v>8.2710000000000008</v>
      </c>
      <c r="D1758" s="55">
        <v>12.250999999999999</v>
      </c>
      <c r="E1758" s="55" t="s">
        <v>527</v>
      </c>
      <c r="F1758" s="55" t="s">
        <v>527</v>
      </c>
    </row>
    <row r="1759" spans="1:6">
      <c r="A1759" s="54">
        <v>41063</v>
      </c>
      <c r="B1759" s="55">
        <v>11.917</v>
      </c>
      <c r="C1759" s="55">
        <v>7.351</v>
      </c>
      <c r="D1759" s="55">
        <v>10.984</v>
      </c>
      <c r="E1759" s="55" t="s">
        <v>527</v>
      </c>
      <c r="F1759" s="55" t="s">
        <v>527</v>
      </c>
    </row>
    <row r="1760" spans="1:6">
      <c r="A1760" s="54">
        <v>41064</v>
      </c>
      <c r="B1760" s="55">
        <v>10.013</v>
      </c>
      <c r="C1760" s="55">
        <v>6.2320000000000002</v>
      </c>
      <c r="D1760" s="55">
        <v>9.1370000000000005</v>
      </c>
      <c r="E1760" s="55" t="s">
        <v>527</v>
      </c>
      <c r="F1760" s="55" t="s">
        <v>527</v>
      </c>
    </row>
    <row r="1761" spans="1:6">
      <c r="A1761" s="54">
        <v>41065</v>
      </c>
      <c r="B1761" s="55">
        <v>10.090999999999999</v>
      </c>
      <c r="C1761" s="55">
        <v>6.3719999999999999</v>
      </c>
      <c r="D1761" s="55">
        <v>9.1869999999999994</v>
      </c>
      <c r="E1761" s="55" t="s">
        <v>527</v>
      </c>
      <c r="F1761" s="55" t="s">
        <v>527</v>
      </c>
    </row>
    <row r="1762" spans="1:6">
      <c r="A1762" s="54">
        <v>41066</v>
      </c>
      <c r="B1762" s="55">
        <v>10.58</v>
      </c>
      <c r="C1762" s="55">
        <v>6.6349999999999998</v>
      </c>
      <c r="D1762" s="55">
        <v>9.6329999999999991</v>
      </c>
      <c r="E1762" s="55" t="s">
        <v>527</v>
      </c>
      <c r="F1762" s="55" t="s">
        <v>527</v>
      </c>
    </row>
    <row r="1763" spans="1:6">
      <c r="A1763" s="54">
        <v>41067</v>
      </c>
      <c r="B1763" s="55">
        <v>10.378</v>
      </c>
      <c r="C1763" s="55">
        <v>6.6420000000000003</v>
      </c>
      <c r="D1763" s="55">
        <v>9.5259999999999998</v>
      </c>
      <c r="E1763" s="55" t="s">
        <v>527</v>
      </c>
      <c r="F1763" s="55" t="s">
        <v>527</v>
      </c>
    </row>
    <row r="1764" spans="1:6">
      <c r="A1764" s="54">
        <v>41068</v>
      </c>
      <c r="B1764" s="55">
        <v>11.826000000000001</v>
      </c>
      <c r="C1764" s="55">
        <v>7.5220000000000002</v>
      </c>
      <c r="D1764" s="55">
        <v>10.759</v>
      </c>
      <c r="E1764" s="55" t="s">
        <v>527</v>
      </c>
      <c r="F1764" s="55" t="s">
        <v>527</v>
      </c>
    </row>
    <row r="1765" spans="1:6">
      <c r="A1765" s="54">
        <v>41069</v>
      </c>
      <c r="B1765" s="55">
        <v>12.366</v>
      </c>
      <c r="C1765" s="55">
        <v>7.7430000000000003</v>
      </c>
      <c r="D1765" s="55">
        <v>11.32</v>
      </c>
      <c r="E1765" s="55" t="s">
        <v>527</v>
      </c>
      <c r="F1765" s="55" t="s">
        <v>527</v>
      </c>
    </row>
    <row r="1766" spans="1:6">
      <c r="A1766" s="54">
        <v>41070</v>
      </c>
      <c r="B1766" s="55">
        <v>10.555999999999999</v>
      </c>
      <c r="C1766" s="55">
        <v>6.45</v>
      </c>
      <c r="D1766" s="55">
        <v>9.58</v>
      </c>
      <c r="E1766" s="55" t="s">
        <v>527</v>
      </c>
      <c r="F1766" s="55" t="s">
        <v>527</v>
      </c>
    </row>
    <row r="1767" spans="1:6">
      <c r="A1767" s="54">
        <v>41071</v>
      </c>
      <c r="B1767" s="55">
        <v>9.8759999999999994</v>
      </c>
      <c r="C1767" s="55">
        <v>6.0060000000000002</v>
      </c>
      <c r="D1767" s="55">
        <v>8.9770000000000003</v>
      </c>
      <c r="E1767" s="55" t="s">
        <v>527</v>
      </c>
      <c r="F1767" s="55" t="s">
        <v>527</v>
      </c>
    </row>
    <row r="1768" spans="1:6">
      <c r="A1768" s="54">
        <v>41072</v>
      </c>
      <c r="B1768" s="55">
        <v>9.5909999999999993</v>
      </c>
      <c r="C1768" s="55">
        <v>5.8949999999999996</v>
      </c>
      <c r="D1768" s="55">
        <v>8.5879999999999992</v>
      </c>
      <c r="E1768" s="55" t="s">
        <v>527</v>
      </c>
      <c r="F1768" s="55" t="s">
        <v>527</v>
      </c>
    </row>
    <row r="1769" spans="1:6">
      <c r="A1769" s="54">
        <v>41073</v>
      </c>
      <c r="B1769" s="55">
        <v>10.768000000000001</v>
      </c>
      <c r="C1769" s="55">
        <v>6.7729999999999997</v>
      </c>
      <c r="D1769" s="55">
        <v>9.032</v>
      </c>
      <c r="E1769" s="55" t="s">
        <v>527</v>
      </c>
      <c r="F1769" s="55" t="s">
        <v>527</v>
      </c>
    </row>
    <row r="1770" spans="1:6">
      <c r="A1770" s="54">
        <v>41074</v>
      </c>
      <c r="B1770" s="55">
        <v>10.494999999999999</v>
      </c>
      <c r="C1770" s="55">
        <v>6.3540000000000001</v>
      </c>
      <c r="D1770" s="55">
        <v>8.9659999999999993</v>
      </c>
      <c r="E1770" s="55" t="s">
        <v>527</v>
      </c>
      <c r="F1770" s="55" t="s">
        <v>527</v>
      </c>
    </row>
    <row r="1771" spans="1:6">
      <c r="A1771" s="54">
        <v>41075</v>
      </c>
      <c r="B1771" s="55">
        <v>12.31</v>
      </c>
      <c r="C1771" s="55">
        <v>7.6189999999999998</v>
      </c>
      <c r="D1771" s="55">
        <v>10.898</v>
      </c>
      <c r="E1771" s="55" t="s">
        <v>527</v>
      </c>
      <c r="F1771" s="55" t="s">
        <v>527</v>
      </c>
    </row>
    <row r="1772" spans="1:6">
      <c r="A1772" s="54">
        <v>41076</v>
      </c>
      <c r="B1772" s="55">
        <v>12.683</v>
      </c>
      <c r="C1772" s="55">
        <v>7.7539999999999996</v>
      </c>
      <c r="D1772" s="55">
        <v>11.315</v>
      </c>
      <c r="E1772" s="55" t="s">
        <v>527</v>
      </c>
      <c r="F1772" s="55" t="s">
        <v>527</v>
      </c>
    </row>
    <row r="1773" spans="1:6">
      <c r="A1773" s="54">
        <v>41077</v>
      </c>
      <c r="B1773" s="55">
        <v>10.901</v>
      </c>
      <c r="C1773" s="55">
        <v>6.73</v>
      </c>
      <c r="D1773" s="55">
        <v>9.8190000000000008</v>
      </c>
      <c r="E1773" s="55" t="s">
        <v>527</v>
      </c>
      <c r="F1773" s="55" t="s">
        <v>527</v>
      </c>
    </row>
    <row r="1774" spans="1:6">
      <c r="A1774" s="54">
        <v>41078</v>
      </c>
      <c r="B1774" s="55">
        <v>10.349</v>
      </c>
      <c r="C1774" s="55">
        <v>6.4539999999999997</v>
      </c>
      <c r="D1774" s="55">
        <v>9.3279999999999994</v>
      </c>
      <c r="E1774" s="55" t="s">
        <v>527</v>
      </c>
      <c r="F1774" s="55" t="s">
        <v>527</v>
      </c>
    </row>
    <row r="1775" spans="1:6">
      <c r="A1775" s="54">
        <v>41079</v>
      </c>
      <c r="B1775" s="55">
        <v>10.34</v>
      </c>
      <c r="C1775" s="55">
        <v>6.4980000000000002</v>
      </c>
      <c r="D1775" s="55">
        <v>9.4529999999999994</v>
      </c>
      <c r="E1775" s="55" t="s">
        <v>527</v>
      </c>
      <c r="F1775" s="55" t="s">
        <v>527</v>
      </c>
    </row>
    <row r="1776" spans="1:6">
      <c r="A1776" s="54">
        <v>41080</v>
      </c>
      <c r="B1776" s="55">
        <v>10.326000000000001</v>
      </c>
      <c r="C1776" s="55">
        <v>6.4589999999999996</v>
      </c>
      <c r="D1776" s="55">
        <v>9.4019999999999992</v>
      </c>
      <c r="E1776" s="55" t="s">
        <v>527</v>
      </c>
      <c r="F1776" s="55" t="s">
        <v>527</v>
      </c>
    </row>
    <row r="1777" spans="1:6">
      <c r="A1777" s="54">
        <v>41081</v>
      </c>
      <c r="B1777" s="55">
        <v>10.661</v>
      </c>
      <c r="C1777" s="55">
        <v>6.6639999999999997</v>
      </c>
      <c r="D1777" s="55">
        <v>9.6820000000000004</v>
      </c>
      <c r="E1777" s="55" t="s">
        <v>527</v>
      </c>
      <c r="F1777" s="55" t="s">
        <v>527</v>
      </c>
    </row>
    <row r="1778" spans="1:6">
      <c r="A1778" s="54">
        <v>41082</v>
      </c>
      <c r="B1778" s="55">
        <v>12.385</v>
      </c>
      <c r="C1778" s="55">
        <v>7.8890000000000002</v>
      </c>
      <c r="D1778" s="55">
        <v>11.298999999999999</v>
      </c>
      <c r="E1778" s="55" t="s">
        <v>527</v>
      </c>
      <c r="F1778" s="55" t="s">
        <v>527</v>
      </c>
    </row>
    <row r="1779" spans="1:6">
      <c r="A1779" s="54">
        <v>41083</v>
      </c>
      <c r="B1779" s="55">
        <v>12.287000000000001</v>
      </c>
      <c r="C1779" s="55">
        <v>7.6120000000000001</v>
      </c>
      <c r="D1779" s="55">
        <v>11.301</v>
      </c>
      <c r="E1779" s="55" t="s">
        <v>527</v>
      </c>
      <c r="F1779" s="55" t="s">
        <v>527</v>
      </c>
    </row>
    <row r="1780" spans="1:6">
      <c r="A1780" s="54">
        <v>41084</v>
      </c>
      <c r="B1780" s="55">
        <v>10.557</v>
      </c>
      <c r="C1780" s="55">
        <v>6.6349999999999998</v>
      </c>
      <c r="D1780" s="55">
        <v>9.6289999999999996</v>
      </c>
      <c r="E1780" s="55" t="s">
        <v>527</v>
      </c>
      <c r="F1780" s="55" t="s">
        <v>527</v>
      </c>
    </row>
    <row r="1781" spans="1:6">
      <c r="A1781" s="54">
        <v>41085</v>
      </c>
      <c r="B1781" s="55">
        <v>10.359</v>
      </c>
      <c r="C1781" s="55">
        <v>6.5810000000000004</v>
      </c>
      <c r="D1781" s="55">
        <v>9.4009999999999998</v>
      </c>
      <c r="E1781" s="55" t="s">
        <v>527</v>
      </c>
      <c r="F1781" s="55" t="s">
        <v>527</v>
      </c>
    </row>
    <row r="1782" spans="1:6">
      <c r="A1782" s="54">
        <v>41086</v>
      </c>
      <c r="B1782" s="55">
        <v>10.478999999999999</v>
      </c>
      <c r="C1782" s="55">
        <v>6.6070000000000002</v>
      </c>
      <c r="D1782" s="55">
        <v>9.5210000000000008</v>
      </c>
      <c r="E1782" s="55" t="s">
        <v>527</v>
      </c>
      <c r="F1782" s="55" t="s">
        <v>527</v>
      </c>
    </row>
    <row r="1783" spans="1:6">
      <c r="A1783" s="54">
        <v>41087</v>
      </c>
      <c r="B1783" s="55">
        <v>11.117000000000001</v>
      </c>
      <c r="C1783" s="55">
        <v>7.13</v>
      </c>
      <c r="D1783" s="55">
        <v>10.212</v>
      </c>
      <c r="E1783" s="55" t="s">
        <v>527</v>
      </c>
      <c r="F1783" s="55" t="s">
        <v>527</v>
      </c>
    </row>
    <row r="1784" spans="1:6">
      <c r="A1784" s="54">
        <v>41088</v>
      </c>
      <c r="B1784" s="55">
        <v>10.978999999999999</v>
      </c>
      <c r="C1784" s="55">
        <v>6.9610000000000003</v>
      </c>
      <c r="D1784" s="55">
        <v>10.029999999999999</v>
      </c>
      <c r="E1784" s="55" t="s">
        <v>527</v>
      </c>
      <c r="F1784" s="55" t="s">
        <v>527</v>
      </c>
    </row>
    <row r="1785" spans="1:6">
      <c r="A1785" s="54">
        <v>41089</v>
      </c>
      <c r="B1785" s="55">
        <v>12.464</v>
      </c>
      <c r="C1785" s="55">
        <v>7.859</v>
      </c>
      <c r="D1785" s="55">
        <v>11.535</v>
      </c>
      <c r="E1785" s="55" t="s">
        <v>527</v>
      </c>
      <c r="F1785" s="55" t="s">
        <v>527</v>
      </c>
    </row>
    <row r="1786" spans="1:6">
      <c r="A1786" s="54">
        <v>41090</v>
      </c>
      <c r="B1786" s="55">
        <v>12.231999999999999</v>
      </c>
      <c r="C1786" s="55">
        <v>7.5970000000000004</v>
      </c>
      <c r="D1786" s="55">
        <v>11.305</v>
      </c>
      <c r="E1786" s="55" t="s">
        <v>527</v>
      </c>
      <c r="F1786" s="55" t="s">
        <v>527</v>
      </c>
    </row>
    <row r="1787" spans="1:6">
      <c r="A1787" s="56"/>
    </row>
    <row r="1788" spans="1:6">
      <c r="A1788" s="57" t="s">
        <v>585</v>
      </c>
    </row>
    <row r="1789" spans="1:6">
      <c r="A1789" s="57" t="s">
        <v>529</v>
      </c>
    </row>
    <row r="1790" spans="1:6" ht="18">
      <c r="A1790" s="58">
        <v>306.86799999999999</v>
      </c>
    </row>
    <row r="1791" spans="1:6">
      <c r="A1791" s="57" t="s">
        <v>531</v>
      </c>
    </row>
    <row r="1792" spans="1:6">
      <c r="A1792" s="59">
        <v>167.767</v>
      </c>
    </row>
    <row r="1793" spans="1:6">
      <c r="A1793" s="57" t="s">
        <v>533</v>
      </c>
    </row>
    <row r="1794" spans="1:6">
      <c r="A1794" s="60">
        <v>30317</v>
      </c>
    </row>
    <row r="1795" spans="1:6">
      <c r="A1795" s="61"/>
    </row>
    <row r="1796" spans="1:6" ht="30">
      <c r="A1796" s="52" t="s">
        <v>521</v>
      </c>
      <c r="B1796" s="52" t="s">
        <v>522</v>
      </c>
      <c r="C1796" s="52" t="s">
        <v>523</v>
      </c>
      <c r="D1796" s="53" t="s">
        <v>524</v>
      </c>
      <c r="E1796" s="53" t="s">
        <v>525</v>
      </c>
      <c r="F1796" s="53" t="s">
        <v>526</v>
      </c>
    </row>
    <row r="1797" spans="1:6">
      <c r="A1797" s="54">
        <v>41091</v>
      </c>
      <c r="B1797" s="55">
        <v>11.036</v>
      </c>
      <c r="C1797" s="55">
        <v>6.7939999999999996</v>
      </c>
      <c r="D1797" s="55">
        <v>10.073</v>
      </c>
      <c r="E1797" s="55" t="s">
        <v>527</v>
      </c>
      <c r="F1797" s="55" t="s">
        <v>527</v>
      </c>
    </row>
    <row r="1798" spans="1:6">
      <c r="A1798" s="54">
        <v>41092</v>
      </c>
      <c r="B1798" s="55">
        <v>11.038</v>
      </c>
      <c r="C1798" s="55">
        <v>6.9720000000000004</v>
      </c>
      <c r="D1798" s="55">
        <v>10.032</v>
      </c>
      <c r="E1798" s="55" t="s">
        <v>527</v>
      </c>
      <c r="F1798" s="55" t="s">
        <v>527</v>
      </c>
    </row>
    <row r="1799" spans="1:6">
      <c r="A1799" s="54">
        <v>41093</v>
      </c>
      <c r="B1799" s="55">
        <v>11.134</v>
      </c>
      <c r="C1799" s="55">
        <v>6.7629999999999999</v>
      </c>
      <c r="D1799" s="55">
        <v>10.013</v>
      </c>
      <c r="E1799" s="55" t="s">
        <v>527</v>
      </c>
      <c r="F1799" s="55" t="s">
        <v>527</v>
      </c>
    </row>
    <row r="1800" spans="1:6">
      <c r="A1800" s="54">
        <v>41094</v>
      </c>
      <c r="B1800" s="55">
        <v>10.349</v>
      </c>
      <c r="C1800" s="55">
        <v>6.3970000000000002</v>
      </c>
      <c r="D1800" s="55">
        <v>9.4169999999999998</v>
      </c>
      <c r="E1800" s="55" t="s">
        <v>527</v>
      </c>
      <c r="F1800" s="55" t="s">
        <v>527</v>
      </c>
    </row>
    <row r="1801" spans="1:6">
      <c r="A1801" s="54">
        <v>41095</v>
      </c>
      <c r="B1801" s="55">
        <v>10.579000000000001</v>
      </c>
      <c r="C1801" s="55">
        <v>6.5830000000000002</v>
      </c>
      <c r="D1801" s="55">
        <v>9.452</v>
      </c>
      <c r="E1801" s="55" t="s">
        <v>527</v>
      </c>
      <c r="F1801" s="55" t="s">
        <v>527</v>
      </c>
    </row>
    <row r="1802" spans="1:6">
      <c r="A1802" s="54">
        <v>41096</v>
      </c>
      <c r="B1802" s="55">
        <v>11.305999999999999</v>
      </c>
      <c r="C1802" s="55">
        <v>6.96</v>
      </c>
      <c r="D1802" s="55">
        <v>9.8279999999999994</v>
      </c>
      <c r="E1802" s="55" t="s">
        <v>527</v>
      </c>
      <c r="F1802" s="55" t="s">
        <v>527</v>
      </c>
    </row>
    <row r="1803" spans="1:6">
      <c r="A1803" s="54">
        <v>41097</v>
      </c>
      <c r="B1803" s="55">
        <v>12.298</v>
      </c>
      <c r="C1803" s="55">
        <v>7.4029999999999996</v>
      </c>
      <c r="D1803" s="55">
        <v>10.887</v>
      </c>
      <c r="E1803" s="55" t="s">
        <v>527</v>
      </c>
      <c r="F1803" s="55" t="s">
        <v>527</v>
      </c>
    </row>
    <row r="1804" spans="1:6">
      <c r="A1804" s="54">
        <v>41098</v>
      </c>
      <c r="B1804" s="55">
        <v>10.456</v>
      </c>
      <c r="C1804" s="55">
        <v>6.4130000000000003</v>
      </c>
      <c r="D1804" s="55">
        <v>9.3490000000000002</v>
      </c>
      <c r="E1804" s="55" t="s">
        <v>527</v>
      </c>
      <c r="F1804" s="55" t="s">
        <v>527</v>
      </c>
    </row>
    <row r="1805" spans="1:6">
      <c r="A1805" s="54">
        <v>41099</v>
      </c>
      <c r="B1805" s="55">
        <v>10.262</v>
      </c>
      <c r="C1805" s="55">
        <v>6.3520000000000003</v>
      </c>
      <c r="D1805" s="55">
        <v>9.27</v>
      </c>
      <c r="E1805" s="55" t="s">
        <v>527</v>
      </c>
      <c r="F1805" s="55" t="s">
        <v>527</v>
      </c>
    </row>
    <row r="1806" spans="1:6">
      <c r="A1806" s="54">
        <v>41100</v>
      </c>
      <c r="B1806" s="55">
        <v>10.467000000000001</v>
      </c>
      <c r="C1806" s="55">
        <v>6.431</v>
      </c>
      <c r="D1806" s="55">
        <v>9.5960000000000001</v>
      </c>
      <c r="E1806" s="55" t="s">
        <v>527</v>
      </c>
      <c r="F1806" s="55" t="s">
        <v>527</v>
      </c>
    </row>
    <row r="1807" spans="1:6">
      <c r="A1807" s="54">
        <v>41101</v>
      </c>
      <c r="B1807" s="55">
        <v>10.218</v>
      </c>
      <c r="C1807" s="55">
        <v>6.3090000000000002</v>
      </c>
      <c r="D1807" s="55">
        <v>9.2439999999999998</v>
      </c>
      <c r="E1807" s="55" t="s">
        <v>527</v>
      </c>
      <c r="F1807" s="55" t="s">
        <v>527</v>
      </c>
    </row>
    <row r="1808" spans="1:6">
      <c r="A1808" s="54">
        <v>41102</v>
      </c>
      <c r="B1808" s="55">
        <v>10.458</v>
      </c>
      <c r="C1808" s="55">
        <v>6.5049999999999999</v>
      </c>
      <c r="D1808" s="55">
        <v>9.3919999999999995</v>
      </c>
      <c r="E1808" s="55" t="s">
        <v>527</v>
      </c>
      <c r="F1808" s="55" t="s">
        <v>527</v>
      </c>
    </row>
    <row r="1809" spans="1:6">
      <c r="A1809" s="54">
        <v>41103</v>
      </c>
      <c r="B1809" s="55">
        <v>11.569000000000001</v>
      </c>
      <c r="C1809" s="55">
        <v>7.298</v>
      </c>
      <c r="D1809" s="55">
        <v>10.61</v>
      </c>
      <c r="E1809" s="55" t="s">
        <v>527</v>
      </c>
      <c r="F1809" s="55" t="s">
        <v>527</v>
      </c>
    </row>
    <row r="1810" spans="1:6">
      <c r="A1810" s="54">
        <v>41104</v>
      </c>
      <c r="B1810" s="55">
        <v>11.587</v>
      </c>
      <c r="C1810" s="55">
        <v>7.3449999999999998</v>
      </c>
      <c r="D1810" s="55">
        <v>10.561999999999999</v>
      </c>
      <c r="E1810" s="55" t="s">
        <v>527</v>
      </c>
      <c r="F1810" s="55" t="s">
        <v>527</v>
      </c>
    </row>
    <row r="1811" spans="1:6">
      <c r="A1811" s="54">
        <v>41105</v>
      </c>
      <c r="B1811" s="55">
        <v>10.324</v>
      </c>
      <c r="C1811" s="55">
        <v>6.3879999999999999</v>
      </c>
      <c r="D1811" s="55">
        <v>9.2729999999999997</v>
      </c>
      <c r="E1811" s="55" t="s">
        <v>527</v>
      </c>
      <c r="F1811" s="55" t="s">
        <v>527</v>
      </c>
    </row>
    <row r="1812" spans="1:6">
      <c r="A1812" s="54">
        <v>41106</v>
      </c>
      <c r="B1812" s="55">
        <v>10.366</v>
      </c>
      <c r="C1812" s="55">
        <v>6.5810000000000004</v>
      </c>
      <c r="D1812" s="55">
        <v>9.4570000000000007</v>
      </c>
      <c r="E1812" s="55" t="s">
        <v>527</v>
      </c>
      <c r="F1812" s="55" t="s">
        <v>527</v>
      </c>
    </row>
    <row r="1813" spans="1:6">
      <c r="A1813" s="54">
        <v>41107</v>
      </c>
      <c r="B1813" s="55">
        <v>11.137</v>
      </c>
      <c r="C1813" s="55">
        <v>7.0540000000000003</v>
      </c>
      <c r="D1813" s="55">
        <v>10.143000000000001</v>
      </c>
      <c r="E1813" s="55" t="s">
        <v>527</v>
      </c>
      <c r="F1813" s="55" t="s">
        <v>527</v>
      </c>
    </row>
    <row r="1814" spans="1:6">
      <c r="A1814" s="54">
        <v>41108</v>
      </c>
      <c r="B1814" s="55">
        <v>10.457000000000001</v>
      </c>
      <c r="C1814" s="55">
        <v>6.5019999999999998</v>
      </c>
      <c r="D1814" s="55">
        <v>9.4700000000000006</v>
      </c>
      <c r="E1814" s="55" t="s">
        <v>527</v>
      </c>
      <c r="F1814" s="55" t="s">
        <v>527</v>
      </c>
    </row>
    <row r="1815" spans="1:6">
      <c r="A1815" s="54">
        <v>41109</v>
      </c>
      <c r="B1815" s="55">
        <v>10.321999999999999</v>
      </c>
      <c r="C1815" s="55">
        <v>6.5339999999999998</v>
      </c>
      <c r="D1815" s="55">
        <v>9.3949999999999996</v>
      </c>
      <c r="E1815" s="55" t="s">
        <v>527</v>
      </c>
      <c r="F1815" s="55" t="s">
        <v>527</v>
      </c>
    </row>
    <row r="1816" spans="1:6">
      <c r="A1816" s="54">
        <v>41110</v>
      </c>
      <c r="B1816" s="55">
        <v>11.787000000000001</v>
      </c>
      <c r="C1816" s="55">
        <v>7.4210000000000003</v>
      </c>
      <c r="D1816" s="55">
        <v>10.759</v>
      </c>
      <c r="E1816" s="55" t="s">
        <v>527</v>
      </c>
      <c r="F1816" s="55" t="s">
        <v>527</v>
      </c>
    </row>
    <row r="1817" spans="1:6">
      <c r="A1817" s="54">
        <v>41111</v>
      </c>
      <c r="B1817" s="55">
        <v>11.26</v>
      </c>
      <c r="C1817" s="55">
        <v>7.09</v>
      </c>
      <c r="D1817" s="55">
        <v>10.271000000000001</v>
      </c>
      <c r="E1817" s="55" t="s">
        <v>527</v>
      </c>
      <c r="F1817" s="55" t="s">
        <v>527</v>
      </c>
    </row>
    <row r="1818" spans="1:6">
      <c r="A1818" s="54">
        <v>41112</v>
      </c>
      <c r="B1818" s="55">
        <v>10.153</v>
      </c>
      <c r="C1818" s="55">
        <v>6.3730000000000002</v>
      </c>
      <c r="D1818" s="55">
        <v>9.202</v>
      </c>
      <c r="E1818" s="55" t="s">
        <v>527</v>
      </c>
      <c r="F1818" s="55" t="s">
        <v>527</v>
      </c>
    </row>
    <row r="1819" spans="1:6">
      <c r="A1819" s="54">
        <v>41113</v>
      </c>
      <c r="B1819" s="55">
        <v>10.161</v>
      </c>
      <c r="C1819" s="55">
        <v>6.5090000000000003</v>
      </c>
      <c r="D1819" s="55">
        <v>9.1829999999999998</v>
      </c>
      <c r="E1819" s="55" t="s">
        <v>527</v>
      </c>
      <c r="F1819" s="55" t="s">
        <v>527</v>
      </c>
    </row>
    <row r="1820" spans="1:6">
      <c r="A1820" s="54">
        <v>41114</v>
      </c>
      <c r="B1820" s="55">
        <v>10.394</v>
      </c>
      <c r="C1820" s="55">
        <v>6.5049999999999999</v>
      </c>
      <c r="D1820" s="55">
        <v>9.3490000000000002</v>
      </c>
      <c r="E1820" s="55" t="s">
        <v>527</v>
      </c>
      <c r="F1820" s="55" t="s">
        <v>527</v>
      </c>
    </row>
    <row r="1821" spans="1:6">
      <c r="A1821" s="54">
        <v>41115</v>
      </c>
      <c r="B1821" s="55">
        <v>10.109</v>
      </c>
      <c r="C1821" s="55">
        <v>6.3289999999999997</v>
      </c>
      <c r="D1821" s="55">
        <v>9.1950000000000003</v>
      </c>
      <c r="E1821" s="55" t="s">
        <v>527</v>
      </c>
      <c r="F1821" s="55" t="s">
        <v>527</v>
      </c>
    </row>
    <row r="1822" spans="1:6">
      <c r="A1822" s="54">
        <v>41116</v>
      </c>
      <c r="B1822" s="55">
        <v>11.084</v>
      </c>
      <c r="C1822" s="55">
        <v>7.0060000000000002</v>
      </c>
      <c r="D1822" s="55">
        <v>10.195</v>
      </c>
      <c r="E1822" s="55" t="s">
        <v>527</v>
      </c>
      <c r="F1822" s="55" t="s">
        <v>527</v>
      </c>
    </row>
    <row r="1823" spans="1:6">
      <c r="A1823" s="54">
        <v>41117</v>
      </c>
      <c r="B1823" s="55">
        <v>12.7</v>
      </c>
      <c r="C1823" s="55">
        <v>7.8090000000000002</v>
      </c>
      <c r="D1823" s="55">
        <v>11.385</v>
      </c>
      <c r="E1823" s="55" t="s">
        <v>527</v>
      </c>
      <c r="F1823" s="55" t="s">
        <v>527</v>
      </c>
    </row>
    <row r="1824" spans="1:6">
      <c r="A1824" s="54">
        <v>41118</v>
      </c>
      <c r="B1824" s="55">
        <v>12.581</v>
      </c>
      <c r="C1824" s="55">
        <v>7.7690000000000001</v>
      </c>
      <c r="D1824" s="55">
        <v>11.314</v>
      </c>
      <c r="E1824" s="55" t="s">
        <v>527</v>
      </c>
      <c r="F1824" s="55" t="s">
        <v>527</v>
      </c>
    </row>
    <row r="1825" spans="1:6">
      <c r="A1825" s="54">
        <v>41119</v>
      </c>
      <c r="B1825" s="55">
        <v>11.802</v>
      </c>
      <c r="C1825" s="55">
        <v>7.1360000000000001</v>
      </c>
      <c r="D1825" s="55">
        <v>10.38</v>
      </c>
      <c r="E1825" s="55" t="s">
        <v>527</v>
      </c>
      <c r="F1825" s="55" t="s">
        <v>527</v>
      </c>
    </row>
    <row r="1826" spans="1:6">
      <c r="A1826" s="54">
        <v>41120</v>
      </c>
      <c r="B1826" s="55">
        <v>11.680999999999999</v>
      </c>
      <c r="C1826" s="55">
        <v>7.149</v>
      </c>
      <c r="D1826" s="55">
        <v>10.037000000000001</v>
      </c>
      <c r="E1826" s="55" t="s">
        <v>527</v>
      </c>
      <c r="F1826" s="55" t="s">
        <v>527</v>
      </c>
    </row>
    <row r="1827" spans="1:6">
      <c r="A1827" s="54">
        <v>41121</v>
      </c>
      <c r="B1827" s="55">
        <v>11.603999999999999</v>
      </c>
      <c r="C1827" s="55">
        <v>7.0810000000000004</v>
      </c>
      <c r="D1827" s="55">
        <v>10.135</v>
      </c>
      <c r="E1827" s="55" t="s">
        <v>527</v>
      </c>
      <c r="F1827" s="55" t="s">
        <v>527</v>
      </c>
    </row>
    <row r="1828" spans="1:6">
      <c r="A1828" s="56"/>
    </row>
    <row r="1829" spans="1:6">
      <c r="A1829" s="57" t="s">
        <v>586</v>
      </c>
    </row>
    <row r="1830" spans="1:6">
      <c r="A1830" s="57" t="s">
        <v>529</v>
      </c>
    </row>
    <row r="1831" spans="1:6" ht="18">
      <c r="A1831" s="58">
        <v>275.94200000000001</v>
      </c>
    </row>
    <row r="1832" spans="1:6">
      <c r="A1832" s="57" t="s">
        <v>531</v>
      </c>
    </row>
    <row r="1833" spans="1:6">
      <c r="A1833" s="59">
        <v>155.142</v>
      </c>
    </row>
    <row r="1834" spans="1:6">
      <c r="A1834" s="57" t="s">
        <v>533</v>
      </c>
    </row>
    <row r="1835" spans="1:6">
      <c r="A1835" s="60">
        <v>28491</v>
      </c>
    </row>
    <row r="1836" spans="1:6">
      <c r="A1836" s="61"/>
    </row>
    <row r="1837" spans="1:6" ht="30">
      <c r="A1837" s="52" t="s">
        <v>521</v>
      </c>
      <c r="B1837" s="52" t="s">
        <v>522</v>
      </c>
      <c r="C1837" s="52" t="s">
        <v>523</v>
      </c>
      <c r="D1837" s="53" t="s">
        <v>524</v>
      </c>
      <c r="E1837" s="53" t="s">
        <v>525</v>
      </c>
      <c r="F1837" s="53" t="s">
        <v>526</v>
      </c>
    </row>
    <row r="1838" spans="1:6">
      <c r="A1838" s="54">
        <v>41122</v>
      </c>
      <c r="B1838" s="55">
        <v>12.137</v>
      </c>
      <c r="C1838" s="55">
        <v>7.548</v>
      </c>
      <c r="D1838" s="55">
        <v>10.72</v>
      </c>
      <c r="E1838" s="55" t="s">
        <v>527</v>
      </c>
      <c r="F1838" s="55" t="s">
        <v>527</v>
      </c>
    </row>
    <row r="1839" spans="1:6">
      <c r="A1839" s="54">
        <v>41123</v>
      </c>
      <c r="B1839" s="55">
        <v>11.856</v>
      </c>
      <c r="C1839" s="55">
        <v>7.4729999999999999</v>
      </c>
      <c r="D1839" s="55">
        <v>10.548999999999999</v>
      </c>
      <c r="E1839" s="55" t="s">
        <v>527</v>
      </c>
      <c r="F1839" s="55" t="s">
        <v>527</v>
      </c>
    </row>
    <row r="1840" spans="1:6">
      <c r="A1840" s="54">
        <v>41124</v>
      </c>
      <c r="B1840" s="55">
        <v>13.297000000000001</v>
      </c>
      <c r="C1840" s="55">
        <v>7.7110000000000003</v>
      </c>
      <c r="D1840" s="55">
        <v>10.907</v>
      </c>
      <c r="E1840" s="55" t="s">
        <v>527</v>
      </c>
      <c r="F1840" s="55" t="s">
        <v>527</v>
      </c>
    </row>
    <row r="1841" spans="1:6">
      <c r="A1841" s="54">
        <v>41125</v>
      </c>
      <c r="B1841" s="55">
        <v>12.145</v>
      </c>
      <c r="C1841" s="55">
        <v>7.39</v>
      </c>
      <c r="D1841" s="55">
        <v>10.532</v>
      </c>
      <c r="E1841" s="55" t="s">
        <v>527</v>
      </c>
      <c r="F1841" s="55" t="s">
        <v>527</v>
      </c>
    </row>
    <row r="1842" spans="1:6">
      <c r="A1842" s="54">
        <v>41126</v>
      </c>
      <c r="B1842" s="55">
        <v>10.951000000000001</v>
      </c>
      <c r="C1842" s="55">
        <v>6.7080000000000002</v>
      </c>
      <c r="D1842" s="55">
        <v>9.6579999999999995</v>
      </c>
      <c r="E1842" s="55" t="s">
        <v>527</v>
      </c>
      <c r="F1842" s="55" t="s">
        <v>527</v>
      </c>
    </row>
    <row r="1843" spans="1:6">
      <c r="A1843" s="54">
        <v>41127</v>
      </c>
      <c r="B1843" s="55">
        <v>11.676</v>
      </c>
      <c r="C1843" s="55">
        <v>7.1139999999999999</v>
      </c>
      <c r="D1843" s="55">
        <v>10.377000000000001</v>
      </c>
      <c r="E1843" s="55" t="s">
        <v>527</v>
      </c>
      <c r="F1843" s="55" t="s">
        <v>527</v>
      </c>
    </row>
    <row r="1844" spans="1:6">
      <c r="A1844" s="54">
        <v>41128</v>
      </c>
      <c r="B1844" s="55">
        <v>11.582000000000001</v>
      </c>
      <c r="C1844" s="55">
        <v>6.9059999999999997</v>
      </c>
      <c r="D1844" s="55">
        <v>9.99</v>
      </c>
      <c r="E1844" s="55" t="s">
        <v>527</v>
      </c>
      <c r="F1844" s="55" t="s">
        <v>527</v>
      </c>
    </row>
    <row r="1845" spans="1:6">
      <c r="A1845" s="54">
        <v>41129</v>
      </c>
      <c r="B1845" s="55">
        <v>10.391999999999999</v>
      </c>
      <c r="C1845" s="55">
        <v>6.2850000000000001</v>
      </c>
      <c r="D1845" s="55">
        <v>9.0879999999999992</v>
      </c>
      <c r="E1845" s="55" t="s">
        <v>527</v>
      </c>
      <c r="F1845" s="55" t="s">
        <v>527</v>
      </c>
    </row>
    <row r="1846" spans="1:6">
      <c r="A1846" s="54">
        <v>41130</v>
      </c>
      <c r="B1846" s="55">
        <v>10.701000000000001</v>
      </c>
      <c r="C1846" s="55">
        <v>6.4189999999999996</v>
      </c>
      <c r="D1846" s="55">
        <v>9.2240000000000002</v>
      </c>
      <c r="E1846" s="55" t="s">
        <v>527</v>
      </c>
      <c r="F1846" s="55" t="s">
        <v>527</v>
      </c>
    </row>
    <row r="1847" spans="1:6">
      <c r="A1847" s="54">
        <v>41131</v>
      </c>
      <c r="B1847" s="55">
        <v>11.214</v>
      </c>
      <c r="C1847" s="55">
        <v>6.79</v>
      </c>
      <c r="D1847" s="55">
        <v>9.89</v>
      </c>
      <c r="E1847" s="55" t="s">
        <v>527</v>
      </c>
      <c r="F1847" s="55" t="s">
        <v>527</v>
      </c>
    </row>
    <row r="1848" spans="1:6">
      <c r="A1848" s="54">
        <v>41132</v>
      </c>
      <c r="B1848" s="55">
        <v>10.593</v>
      </c>
      <c r="C1848" s="55">
        <v>6.3819999999999997</v>
      </c>
      <c r="D1848" s="55">
        <v>9.1929999999999996</v>
      </c>
      <c r="E1848" s="55" t="s">
        <v>527</v>
      </c>
      <c r="F1848" s="55" t="s">
        <v>527</v>
      </c>
    </row>
    <row r="1849" spans="1:6">
      <c r="A1849" s="54">
        <v>41133</v>
      </c>
      <c r="B1849" s="55">
        <v>9.7550000000000008</v>
      </c>
      <c r="C1849" s="55">
        <v>6.0469999999999997</v>
      </c>
      <c r="D1849" s="55">
        <v>8.3490000000000002</v>
      </c>
      <c r="E1849" s="55" t="s">
        <v>527</v>
      </c>
      <c r="F1849" s="55" t="s">
        <v>527</v>
      </c>
    </row>
    <row r="1850" spans="1:6">
      <c r="A1850" s="54">
        <v>41134</v>
      </c>
      <c r="B1850" s="55">
        <v>9.3780000000000001</v>
      </c>
      <c r="C1850" s="55">
        <v>5.9119999999999999</v>
      </c>
      <c r="D1850" s="55">
        <v>8.1310000000000002</v>
      </c>
      <c r="E1850" s="55" t="s">
        <v>527</v>
      </c>
      <c r="F1850" s="55" t="s">
        <v>527</v>
      </c>
    </row>
    <row r="1851" spans="1:6">
      <c r="A1851" s="54">
        <v>41135</v>
      </c>
      <c r="B1851" s="55">
        <v>9.548</v>
      </c>
      <c r="C1851" s="55">
        <v>5.8789999999999996</v>
      </c>
      <c r="D1851" s="55">
        <v>8.1620000000000008</v>
      </c>
      <c r="E1851" s="55" t="s">
        <v>527</v>
      </c>
      <c r="F1851" s="55" t="s">
        <v>527</v>
      </c>
    </row>
    <row r="1852" spans="1:6">
      <c r="A1852" s="54">
        <v>41136</v>
      </c>
      <c r="B1852" s="55">
        <v>9.5359999999999996</v>
      </c>
      <c r="C1852" s="55">
        <v>5.9809999999999999</v>
      </c>
      <c r="D1852" s="55">
        <v>8.4149999999999991</v>
      </c>
      <c r="E1852" s="55" t="s">
        <v>527</v>
      </c>
      <c r="F1852" s="55" t="s">
        <v>527</v>
      </c>
    </row>
    <row r="1853" spans="1:6">
      <c r="A1853" s="54">
        <v>41137</v>
      </c>
      <c r="B1853" s="55">
        <v>9.9290000000000003</v>
      </c>
      <c r="C1853" s="55">
        <v>6.3010000000000002</v>
      </c>
      <c r="D1853" s="55">
        <v>8.6969999999999992</v>
      </c>
      <c r="E1853" s="55" t="s">
        <v>527</v>
      </c>
      <c r="F1853" s="55" t="s">
        <v>527</v>
      </c>
    </row>
    <row r="1854" spans="1:6">
      <c r="A1854" s="54">
        <v>41138</v>
      </c>
      <c r="B1854" s="55">
        <v>12.34</v>
      </c>
      <c r="C1854" s="55">
        <v>6.4429999999999996</v>
      </c>
      <c r="D1854" s="55">
        <v>8.9719999999999995</v>
      </c>
      <c r="E1854" s="55" t="s">
        <v>527</v>
      </c>
      <c r="F1854" s="55" t="s">
        <v>527</v>
      </c>
    </row>
    <row r="1855" spans="1:6">
      <c r="A1855" s="54">
        <v>41139</v>
      </c>
      <c r="B1855" s="55">
        <v>10.186</v>
      </c>
      <c r="C1855" s="55">
        <v>6.4969999999999999</v>
      </c>
      <c r="D1855" s="55">
        <v>9.0719999999999992</v>
      </c>
      <c r="E1855" s="55" t="s">
        <v>527</v>
      </c>
      <c r="F1855" s="55" t="s">
        <v>527</v>
      </c>
    </row>
    <row r="1856" spans="1:6">
      <c r="A1856" s="54">
        <v>41140</v>
      </c>
      <c r="B1856" s="55">
        <v>9.673</v>
      </c>
      <c r="C1856" s="55">
        <v>6.09</v>
      </c>
      <c r="D1856" s="55">
        <v>8.5079999999999991</v>
      </c>
      <c r="E1856" s="55" t="s">
        <v>527</v>
      </c>
      <c r="F1856" s="55" t="s">
        <v>527</v>
      </c>
    </row>
    <row r="1857" spans="1:6">
      <c r="A1857" s="54">
        <v>41141</v>
      </c>
      <c r="B1857" s="55">
        <v>9.0549999999999997</v>
      </c>
      <c r="C1857" s="55">
        <v>5.5949999999999998</v>
      </c>
      <c r="D1857" s="55">
        <v>7.8239999999999998</v>
      </c>
      <c r="E1857" s="55" t="s">
        <v>527</v>
      </c>
      <c r="F1857" s="55" t="s">
        <v>527</v>
      </c>
    </row>
    <row r="1858" spans="1:6">
      <c r="A1858" s="54">
        <v>41142</v>
      </c>
      <c r="B1858" s="55">
        <v>8.6530000000000005</v>
      </c>
      <c r="C1858" s="55">
        <v>5.4269999999999996</v>
      </c>
      <c r="D1858" s="55">
        <v>7.5430000000000001</v>
      </c>
      <c r="E1858" s="55" t="s">
        <v>527</v>
      </c>
      <c r="F1858" s="55" t="s">
        <v>527</v>
      </c>
    </row>
    <row r="1859" spans="1:6">
      <c r="A1859" s="54">
        <v>41143</v>
      </c>
      <c r="B1859" s="55">
        <v>8.8759999999999994</v>
      </c>
      <c r="C1859" s="55">
        <v>5.5019999999999998</v>
      </c>
      <c r="D1859" s="55">
        <v>7.76</v>
      </c>
      <c r="E1859" s="55" t="s">
        <v>527</v>
      </c>
      <c r="F1859" s="55" t="s">
        <v>527</v>
      </c>
    </row>
    <row r="1860" spans="1:6">
      <c r="A1860" s="54">
        <v>41144</v>
      </c>
      <c r="B1860" s="55">
        <v>8.673</v>
      </c>
      <c r="C1860" s="55">
        <v>5.4169999999999998</v>
      </c>
      <c r="D1860" s="55">
        <v>7.5810000000000004</v>
      </c>
      <c r="E1860" s="55" t="s">
        <v>527</v>
      </c>
      <c r="F1860" s="55" t="s">
        <v>527</v>
      </c>
    </row>
    <row r="1861" spans="1:6">
      <c r="A1861" s="54">
        <v>41145</v>
      </c>
      <c r="B1861" s="55">
        <v>10.004</v>
      </c>
      <c r="C1861" s="55">
        <v>6.3319999999999999</v>
      </c>
      <c r="D1861" s="55">
        <v>8.7759999999999998</v>
      </c>
      <c r="E1861" s="55" t="s">
        <v>527</v>
      </c>
      <c r="F1861" s="55" t="s">
        <v>527</v>
      </c>
    </row>
    <row r="1862" spans="1:6">
      <c r="A1862" s="54">
        <v>41146</v>
      </c>
      <c r="B1862" s="55">
        <v>10.541</v>
      </c>
      <c r="C1862" s="55">
        <v>6.5170000000000003</v>
      </c>
      <c r="D1862" s="55">
        <v>9.2970000000000006</v>
      </c>
      <c r="E1862" s="55" t="s">
        <v>527</v>
      </c>
      <c r="F1862" s="55" t="s">
        <v>527</v>
      </c>
    </row>
    <row r="1863" spans="1:6">
      <c r="A1863" s="54">
        <v>41147</v>
      </c>
      <c r="B1863" s="55">
        <v>9.5169999999999995</v>
      </c>
      <c r="C1863" s="55">
        <v>5.7729999999999997</v>
      </c>
      <c r="D1863" s="55">
        <v>8.3019999999999996</v>
      </c>
      <c r="E1863" s="55" t="s">
        <v>527</v>
      </c>
      <c r="F1863" s="55" t="s">
        <v>527</v>
      </c>
    </row>
    <row r="1864" spans="1:6">
      <c r="A1864" s="54">
        <v>41148</v>
      </c>
      <c r="B1864" s="55">
        <v>8.5850000000000009</v>
      </c>
      <c r="C1864" s="55">
        <v>5.46</v>
      </c>
      <c r="D1864" s="55">
        <v>7.5229999999999997</v>
      </c>
      <c r="E1864" s="55" t="s">
        <v>527</v>
      </c>
      <c r="F1864" s="55" t="s">
        <v>527</v>
      </c>
    </row>
    <row r="1865" spans="1:6">
      <c r="A1865" s="54">
        <v>41149</v>
      </c>
      <c r="B1865" s="55">
        <v>8.4719999999999995</v>
      </c>
      <c r="C1865" s="55">
        <v>5.3920000000000003</v>
      </c>
      <c r="D1865" s="55">
        <v>7.3419999999999996</v>
      </c>
      <c r="E1865" s="55" t="s">
        <v>527</v>
      </c>
      <c r="F1865" s="55" t="s">
        <v>527</v>
      </c>
    </row>
    <row r="1866" spans="1:6">
      <c r="A1866" s="54">
        <v>41150</v>
      </c>
      <c r="B1866" s="55">
        <v>9.2029999999999994</v>
      </c>
      <c r="C1866" s="55">
        <v>5.9240000000000004</v>
      </c>
      <c r="D1866" s="55">
        <v>8.1310000000000002</v>
      </c>
      <c r="E1866" s="55" t="s">
        <v>527</v>
      </c>
      <c r="F1866" s="55" t="s">
        <v>527</v>
      </c>
    </row>
    <row r="1867" spans="1:6">
      <c r="A1867" s="54">
        <v>41151</v>
      </c>
      <c r="B1867" s="55">
        <v>9.2880000000000003</v>
      </c>
      <c r="C1867" s="55">
        <v>5.84</v>
      </c>
      <c r="D1867" s="55">
        <v>8.2889999999999997</v>
      </c>
      <c r="E1867" s="55" t="s">
        <v>527</v>
      </c>
      <c r="F1867" s="55" t="s">
        <v>527</v>
      </c>
    </row>
    <row r="1868" spans="1:6">
      <c r="A1868" s="54">
        <v>41152</v>
      </c>
      <c r="B1868" s="55">
        <v>10.215</v>
      </c>
      <c r="C1868" s="55">
        <v>6.3849999999999998</v>
      </c>
      <c r="D1868" s="55">
        <v>9.14</v>
      </c>
      <c r="E1868" s="55" t="s">
        <v>527</v>
      </c>
      <c r="F1868" s="55" t="s">
        <v>527</v>
      </c>
    </row>
    <row r="1869" spans="1:6">
      <c r="A1869" s="56"/>
    </row>
    <row r="1870" spans="1:6">
      <c r="A1870" s="57" t="s">
        <v>587</v>
      </c>
    </row>
    <row r="1871" spans="1:6">
      <c r="A1871" s="57" t="s">
        <v>529</v>
      </c>
    </row>
    <row r="1872" spans="1:6" ht="18">
      <c r="A1872" s="58">
        <v>214.90600000000001</v>
      </c>
    </row>
    <row r="1873" spans="1:6">
      <c r="A1873" s="57" t="s">
        <v>531</v>
      </c>
    </row>
    <row r="1874" spans="1:6">
      <c r="A1874" s="59">
        <v>145.399</v>
      </c>
    </row>
    <row r="1875" spans="1:6">
      <c r="A1875" s="57" t="s">
        <v>533</v>
      </c>
    </row>
    <row r="1876" spans="1:6">
      <c r="A1876" s="60">
        <v>17533</v>
      </c>
    </row>
    <row r="1877" spans="1:6">
      <c r="A1877" s="61"/>
    </row>
    <row r="1878" spans="1:6" ht="30">
      <c r="A1878" s="52" t="s">
        <v>521</v>
      </c>
      <c r="B1878" s="52" t="s">
        <v>522</v>
      </c>
      <c r="C1878" s="52" t="s">
        <v>523</v>
      </c>
      <c r="D1878" s="53" t="s">
        <v>524</v>
      </c>
      <c r="E1878" s="53" t="s">
        <v>525</v>
      </c>
      <c r="F1878" s="53" t="s">
        <v>526</v>
      </c>
    </row>
    <row r="1879" spans="1:6">
      <c r="A1879" s="54">
        <v>41153</v>
      </c>
      <c r="B1879" s="55">
        <v>9.8179999999999996</v>
      </c>
      <c r="C1879" s="55">
        <v>6.2060000000000004</v>
      </c>
      <c r="D1879" s="55">
        <v>8.7829999999999995</v>
      </c>
      <c r="E1879" s="55" t="s">
        <v>527</v>
      </c>
      <c r="F1879" s="55" t="s">
        <v>527</v>
      </c>
    </row>
    <row r="1880" spans="1:6">
      <c r="A1880" s="54">
        <v>41154</v>
      </c>
      <c r="B1880" s="55">
        <v>8.1709999999999994</v>
      </c>
      <c r="C1880" s="55">
        <v>5.0369999999999999</v>
      </c>
      <c r="D1880" s="55">
        <v>7.282</v>
      </c>
      <c r="E1880" s="55" t="s">
        <v>527</v>
      </c>
      <c r="F1880" s="55" t="s">
        <v>527</v>
      </c>
    </row>
    <row r="1881" spans="1:6">
      <c r="A1881" s="54">
        <v>41155</v>
      </c>
      <c r="B1881" s="55">
        <v>8.3409999999999993</v>
      </c>
      <c r="C1881" s="55">
        <v>5.5839999999999996</v>
      </c>
      <c r="D1881" s="55">
        <v>6.423</v>
      </c>
      <c r="E1881" s="55" t="s">
        <v>527</v>
      </c>
      <c r="F1881" s="55" t="s">
        <v>527</v>
      </c>
    </row>
    <row r="1882" spans="1:6">
      <c r="A1882" s="54">
        <v>41156</v>
      </c>
      <c r="B1882" s="55">
        <v>30.622</v>
      </c>
      <c r="C1882" s="55">
        <v>24.762</v>
      </c>
      <c r="D1882" s="55">
        <v>5.8179999999999996</v>
      </c>
      <c r="E1882" s="55" t="s">
        <v>527</v>
      </c>
      <c r="F1882" s="55" t="s">
        <v>527</v>
      </c>
    </row>
    <row r="1883" spans="1:6">
      <c r="A1883" s="54">
        <v>41157</v>
      </c>
      <c r="B1883" s="55">
        <v>7.532</v>
      </c>
      <c r="C1883" s="55">
        <v>4.7640000000000002</v>
      </c>
      <c r="D1883" s="55">
        <v>5.6449999999999996</v>
      </c>
      <c r="E1883" s="55" t="s">
        <v>527</v>
      </c>
      <c r="F1883" s="55" t="s">
        <v>527</v>
      </c>
    </row>
    <row r="1884" spans="1:6">
      <c r="A1884" s="54">
        <v>41158</v>
      </c>
      <c r="B1884" s="55">
        <v>7.4279999999999999</v>
      </c>
      <c r="C1884" s="55">
        <v>4.8250000000000002</v>
      </c>
      <c r="D1884" s="55">
        <v>6.24</v>
      </c>
      <c r="E1884" s="55" t="s">
        <v>527</v>
      </c>
      <c r="F1884" s="55" t="s">
        <v>527</v>
      </c>
    </row>
    <row r="1885" spans="1:6">
      <c r="A1885" s="54">
        <v>41159</v>
      </c>
      <c r="B1885" s="55">
        <v>10.036</v>
      </c>
      <c r="C1885" s="55">
        <v>6.4269999999999996</v>
      </c>
      <c r="D1885" s="55">
        <v>8.6790000000000003</v>
      </c>
      <c r="E1885" s="55" t="s">
        <v>527</v>
      </c>
      <c r="F1885" s="55" t="s">
        <v>527</v>
      </c>
    </row>
    <row r="1886" spans="1:6">
      <c r="A1886" s="54">
        <v>41160</v>
      </c>
      <c r="B1886" s="55">
        <v>11.45</v>
      </c>
      <c r="C1886" s="55">
        <v>7.1669999999999998</v>
      </c>
      <c r="D1886" s="55">
        <v>9.8840000000000003</v>
      </c>
      <c r="E1886" s="55" t="s">
        <v>527</v>
      </c>
      <c r="F1886" s="55" t="s">
        <v>527</v>
      </c>
    </row>
    <row r="1887" spans="1:6">
      <c r="A1887" s="54">
        <v>41161</v>
      </c>
      <c r="B1887" s="55">
        <v>8.4749999999999996</v>
      </c>
      <c r="C1887" s="55">
        <v>5.3360000000000003</v>
      </c>
      <c r="D1887" s="55">
        <v>7.3529999999999998</v>
      </c>
      <c r="E1887" s="55" t="s">
        <v>527</v>
      </c>
      <c r="F1887" s="55" t="s">
        <v>527</v>
      </c>
    </row>
    <row r="1888" spans="1:6">
      <c r="A1888" s="54">
        <v>41162</v>
      </c>
      <c r="B1888" s="55">
        <v>6.8259999999999996</v>
      </c>
      <c r="C1888" s="55">
        <v>4.4930000000000003</v>
      </c>
      <c r="D1888" s="55">
        <v>5.8940000000000001</v>
      </c>
      <c r="E1888" s="55" t="s">
        <v>527</v>
      </c>
      <c r="F1888" s="55" t="s">
        <v>527</v>
      </c>
    </row>
    <row r="1889" spans="1:6">
      <c r="A1889" s="54">
        <v>41163</v>
      </c>
      <c r="B1889" s="55">
        <v>7.117</v>
      </c>
      <c r="C1889" s="55">
        <v>4.5369999999999999</v>
      </c>
      <c r="D1889" s="55">
        <v>6.1779999999999999</v>
      </c>
      <c r="E1889" s="55" t="s">
        <v>527</v>
      </c>
      <c r="F1889" s="55" t="s">
        <v>527</v>
      </c>
    </row>
    <row r="1890" spans="1:6">
      <c r="A1890" s="54">
        <v>41164</v>
      </c>
      <c r="B1890" s="55">
        <v>7.1959999999999997</v>
      </c>
      <c r="C1890" s="55">
        <v>4.6559999999999997</v>
      </c>
      <c r="D1890" s="55">
        <v>6.26</v>
      </c>
      <c r="E1890" s="55" t="s">
        <v>527</v>
      </c>
      <c r="F1890" s="55" t="s">
        <v>527</v>
      </c>
    </row>
    <row r="1891" spans="1:6">
      <c r="A1891" s="54">
        <v>41165</v>
      </c>
      <c r="B1891" s="55">
        <v>7.1509999999999998</v>
      </c>
      <c r="C1891" s="55">
        <v>4.6289999999999996</v>
      </c>
      <c r="D1891" s="55">
        <v>6.1859999999999999</v>
      </c>
      <c r="E1891" s="55" t="s">
        <v>527</v>
      </c>
      <c r="F1891" s="55" t="s">
        <v>527</v>
      </c>
    </row>
    <row r="1892" spans="1:6">
      <c r="A1892" s="54">
        <v>41166</v>
      </c>
      <c r="B1892" s="55">
        <v>9.7919999999999998</v>
      </c>
      <c r="C1892" s="55">
        <v>6.3140000000000001</v>
      </c>
      <c r="D1892" s="55">
        <v>8.6470000000000002</v>
      </c>
      <c r="E1892" s="55" t="s">
        <v>527</v>
      </c>
      <c r="F1892" s="55" t="s">
        <v>527</v>
      </c>
    </row>
    <row r="1893" spans="1:6">
      <c r="A1893" s="54">
        <v>41167</v>
      </c>
      <c r="B1893" s="55">
        <v>11.651999999999999</v>
      </c>
      <c r="C1893" s="55">
        <v>7.2990000000000004</v>
      </c>
      <c r="D1893" s="55">
        <v>10.141</v>
      </c>
      <c r="E1893" s="55" t="s">
        <v>527</v>
      </c>
      <c r="F1893" s="55" t="s">
        <v>527</v>
      </c>
    </row>
    <row r="1894" spans="1:6">
      <c r="A1894" s="54">
        <v>41168</v>
      </c>
      <c r="B1894" s="55">
        <v>8.5299999999999994</v>
      </c>
      <c r="C1894" s="55">
        <v>5.2789999999999999</v>
      </c>
      <c r="D1894" s="55">
        <v>7.2679999999999998</v>
      </c>
      <c r="E1894" s="55" t="s">
        <v>527</v>
      </c>
      <c r="F1894" s="55" t="s">
        <v>527</v>
      </c>
    </row>
    <row r="1895" spans="1:6">
      <c r="A1895" s="54">
        <v>41169</v>
      </c>
      <c r="B1895" s="55">
        <v>6.4489999999999998</v>
      </c>
      <c r="C1895" s="55">
        <v>4.1289999999999996</v>
      </c>
      <c r="D1895" s="55">
        <v>5.556</v>
      </c>
      <c r="E1895" s="55" t="s">
        <v>527</v>
      </c>
      <c r="F1895" s="55" t="s">
        <v>527</v>
      </c>
    </row>
    <row r="1896" spans="1:6">
      <c r="A1896" s="54">
        <v>41170</v>
      </c>
      <c r="B1896" s="55">
        <v>6.3170000000000002</v>
      </c>
      <c r="C1896" s="55">
        <v>4.1749999999999998</v>
      </c>
      <c r="D1896" s="55">
        <v>5.5369999999999999</v>
      </c>
      <c r="E1896" s="55" t="s">
        <v>527</v>
      </c>
      <c r="F1896" s="55" t="s">
        <v>527</v>
      </c>
    </row>
    <row r="1897" spans="1:6">
      <c r="A1897" s="54">
        <v>41171</v>
      </c>
      <c r="B1897" s="55">
        <v>6.4359999999999999</v>
      </c>
      <c r="C1897" s="55">
        <v>4.33</v>
      </c>
      <c r="D1897" s="55">
        <v>5.5940000000000003</v>
      </c>
      <c r="E1897" s="55" t="s">
        <v>527</v>
      </c>
      <c r="F1897" s="55" t="s">
        <v>527</v>
      </c>
    </row>
    <row r="1898" spans="1:6">
      <c r="A1898" s="54">
        <v>41172</v>
      </c>
      <c r="B1898" s="55">
        <v>7.0549999999999997</v>
      </c>
      <c r="C1898" s="55">
        <v>4.6859999999999999</v>
      </c>
      <c r="D1898" s="55">
        <v>6.1449999999999996</v>
      </c>
      <c r="E1898" s="55" t="s">
        <v>527</v>
      </c>
      <c r="F1898" s="55" t="s">
        <v>527</v>
      </c>
    </row>
    <row r="1899" spans="1:6">
      <c r="A1899" s="54">
        <v>41173</v>
      </c>
      <c r="B1899" s="55">
        <v>10.1</v>
      </c>
      <c r="C1899" s="55">
        <v>6.6360000000000001</v>
      </c>
      <c r="D1899" s="55">
        <v>8.7409999999999997</v>
      </c>
      <c r="E1899" s="55" t="s">
        <v>527</v>
      </c>
      <c r="F1899" s="55" t="s">
        <v>527</v>
      </c>
    </row>
    <row r="1900" spans="1:6">
      <c r="A1900" s="54">
        <v>41174</v>
      </c>
      <c r="B1900" s="55">
        <v>11.824999999999999</v>
      </c>
      <c r="C1900" s="55">
        <v>7.4630000000000001</v>
      </c>
      <c r="D1900" s="55">
        <v>10.363</v>
      </c>
      <c r="E1900" s="55" t="s">
        <v>527</v>
      </c>
      <c r="F1900" s="55" t="s">
        <v>527</v>
      </c>
    </row>
    <row r="1901" spans="1:6">
      <c r="A1901" s="54">
        <v>41175</v>
      </c>
      <c r="B1901" s="55">
        <v>8.7100000000000009</v>
      </c>
      <c r="C1901" s="55">
        <v>5.2690000000000001</v>
      </c>
      <c r="D1901" s="55">
        <v>7.399</v>
      </c>
      <c r="E1901" s="55" t="s">
        <v>527</v>
      </c>
      <c r="F1901" s="55" t="s">
        <v>527</v>
      </c>
    </row>
    <row r="1902" spans="1:6">
      <c r="A1902" s="54">
        <v>41176</v>
      </c>
      <c r="B1902" s="55">
        <v>6.2729999999999997</v>
      </c>
      <c r="C1902" s="55">
        <v>4.1059999999999999</v>
      </c>
      <c r="D1902" s="55">
        <v>5.46</v>
      </c>
      <c r="E1902" s="55" t="s">
        <v>527</v>
      </c>
      <c r="F1902" s="55" t="s">
        <v>527</v>
      </c>
    </row>
    <row r="1903" spans="1:6">
      <c r="A1903" s="54">
        <v>41177</v>
      </c>
      <c r="B1903" s="55">
        <v>6.3979999999999997</v>
      </c>
      <c r="C1903" s="55">
        <v>4.1130000000000004</v>
      </c>
      <c r="D1903" s="55">
        <v>5.53</v>
      </c>
      <c r="E1903" s="55" t="s">
        <v>527</v>
      </c>
      <c r="F1903" s="55" t="s">
        <v>527</v>
      </c>
    </row>
    <row r="1904" spans="1:6">
      <c r="A1904" s="54">
        <v>41178</v>
      </c>
      <c r="B1904" s="55">
        <v>6.7539999999999996</v>
      </c>
      <c r="C1904" s="55">
        <v>4.3170000000000002</v>
      </c>
      <c r="D1904" s="55">
        <v>5.8040000000000003</v>
      </c>
      <c r="E1904" s="55" t="s">
        <v>527</v>
      </c>
      <c r="F1904" s="55" t="s">
        <v>527</v>
      </c>
    </row>
    <row r="1905" spans="1:6">
      <c r="A1905" s="54">
        <v>41179</v>
      </c>
      <c r="B1905" s="55">
        <v>6.8769999999999998</v>
      </c>
      <c r="C1905" s="55">
        <v>4.4740000000000002</v>
      </c>
      <c r="D1905" s="55">
        <v>6.1289999999999996</v>
      </c>
      <c r="E1905" s="55" t="s">
        <v>527</v>
      </c>
      <c r="F1905" s="55" t="s">
        <v>527</v>
      </c>
    </row>
    <row r="1906" spans="1:6">
      <c r="A1906" s="54">
        <v>41180</v>
      </c>
      <c r="B1906" s="55">
        <v>9.2940000000000005</v>
      </c>
      <c r="C1906" s="55">
        <v>6.0789999999999997</v>
      </c>
      <c r="D1906" s="55">
        <v>8.2560000000000002</v>
      </c>
      <c r="E1906" s="55" t="s">
        <v>527</v>
      </c>
      <c r="F1906" s="55" t="s">
        <v>527</v>
      </c>
    </row>
    <row r="1907" spans="1:6">
      <c r="A1907" s="54">
        <v>41181</v>
      </c>
      <c r="B1907" s="55">
        <v>12.545</v>
      </c>
      <c r="C1907" s="55">
        <v>7.3440000000000003</v>
      </c>
      <c r="D1907" s="55">
        <v>10.189</v>
      </c>
      <c r="E1907" s="55" t="s">
        <v>527</v>
      </c>
      <c r="F1907" s="55" t="s">
        <v>527</v>
      </c>
    </row>
    <row r="1908" spans="1:6">
      <c r="A1908" s="54">
        <v>41182</v>
      </c>
      <c r="B1908" s="55">
        <v>9.1479999999999997</v>
      </c>
      <c r="C1908" s="55">
        <v>5.585</v>
      </c>
      <c r="D1908" s="55">
        <v>7.5220000000000002</v>
      </c>
      <c r="E1908" s="55" t="s">
        <v>527</v>
      </c>
      <c r="F1908" s="55" t="s">
        <v>527</v>
      </c>
    </row>
    <row r="1909" spans="1:6">
      <c r="A1909" s="56"/>
    </row>
    <row r="1910" spans="1:6">
      <c r="A1910" s="57" t="s">
        <v>588</v>
      </c>
    </row>
    <row r="1911" spans="1:6">
      <c r="A1911" s="57" t="s">
        <v>529</v>
      </c>
    </row>
    <row r="1912" spans="1:6" ht="18">
      <c r="A1912" s="58">
        <v>235.16900000000001</v>
      </c>
    </row>
    <row r="1913" spans="1:6">
      <c r="A1913" s="57" t="s">
        <v>531</v>
      </c>
    </row>
    <row r="1914" spans="1:6">
      <c r="A1914" s="59">
        <v>136.054</v>
      </c>
    </row>
    <row r="1915" spans="1:6">
      <c r="A1915" s="57" t="s">
        <v>533</v>
      </c>
    </row>
    <row r="1916" spans="1:6">
      <c r="A1916" s="60">
        <v>26665</v>
      </c>
    </row>
    <row r="1917" spans="1:6">
      <c r="A1917" s="61"/>
    </row>
    <row r="1918" spans="1:6" ht="30">
      <c r="A1918" s="52" t="s">
        <v>521</v>
      </c>
      <c r="B1918" s="52" t="s">
        <v>522</v>
      </c>
      <c r="C1918" s="52" t="s">
        <v>523</v>
      </c>
      <c r="D1918" s="53" t="s">
        <v>524</v>
      </c>
      <c r="E1918" s="53" t="s">
        <v>525</v>
      </c>
      <c r="F1918" s="53" t="s">
        <v>526</v>
      </c>
    </row>
    <row r="1919" spans="1:6">
      <c r="A1919" s="54">
        <v>41183</v>
      </c>
      <c r="B1919" s="55">
        <v>6.7229999999999999</v>
      </c>
      <c r="C1919" s="55">
        <v>4.4740000000000002</v>
      </c>
      <c r="D1919" s="55">
        <v>5.8239999999999998</v>
      </c>
      <c r="E1919" s="55" t="s">
        <v>527</v>
      </c>
      <c r="F1919" s="55" t="s">
        <v>527</v>
      </c>
    </row>
    <row r="1920" spans="1:6">
      <c r="A1920" s="54">
        <v>41184</v>
      </c>
      <c r="B1920" s="55">
        <v>6.8129999999999997</v>
      </c>
      <c r="C1920" s="55">
        <v>4.4690000000000003</v>
      </c>
      <c r="D1920" s="55">
        <v>5.8529999999999998</v>
      </c>
      <c r="E1920" s="55" t="s">
        <v>527</v>
      </c>
      <c r="F1920" s="55" t="s">
        <v>527</v>
      </c>
    </row>
    <row r="1921" spans="1:6">
      <c r="A1921" s="54">
        <v>41185</v>
      </c>
      <c r="B1921" s="55">
        <v>7.0830000000000002</v>
      </c>
      <c r="C1921" s="55">
        <v>4.6020000000000003</v>
      </c>
      <c r="D1921" s="55">
        <v>6.1760000000000002</v>
      </c>
      <c r="E1921" s="55" t="s">
        <v>527</v>
      </c>
      <c r="F1921" s="55" t="s">
        <v>527</v>
      </c>
    </row>
    <row r="1922" spans="1:6">
      <c r="A1922" s="54">
        <v>41186</v>
      </c>
      <c r="B1922" s="55">
        <v>7.4269999999999996</v>
      </c>
      <c r="C1922" s="55">
        <v>4.7370000000000001</v>
      </c>
      <c r="D1922" s="55">
        <v>6.2480000000000002</v>
      </c>
      <c r="E1922" s="55" t="s">
        <v>527</v>
      </c>
      <c r="F1922" s="55" t="s">
        <v>527</v>
      </c>
    </row>
    <row r="1923" spans="1:6">
      <c r="A1923" s="54">
        <v>41187</v>
      </c>
      <c r="B1923" s="55">
        <v>10.055999999999999</v>
      </c>
      <c r="C1923" s="55">
        <v>6.3840000000000003</v>
      </c>
      <c r="D1923" s="55">
        <v>8.59</v>
      </c>
      <c r="E1923" s="55" t="s">
        <v>527</v>
      </c>
      <c r="F1923" s="55" t="s">
        <v>527</v>
      </c>
    </row>
    <row r="1924" spans="1:6">
      <c r="A1924" s="54">
        <v>41188</v>
      </c>
      <c r="B1924" s="55">
        <v>11.522</v>
      </c>
      <c r="C1924" s="55">
        <v>7.1790000000000003</v>
      </c>
      <c r="D1924" s="55">
        <v>9.9269999999999996</v>
      </c>
      <c r="E1924" s="55" t="s">
        <v>527</v>
      </c>
      <c r="F1924" s="55" t="s">
        <v>527</v>
      </c>
    </row>
    <row r="1925" spans="1:6">
      <c r="A1925" s="54">
        <v>41189</v>
      </c>
      <c r="B1925" s="55">
        <v>9.4380000000000006</v>
      </c>
      <c r="C1925" s="55">
        <v>5.7949999999999999</v>
      </c>
      <c r="D1925" s="55">
        <v>8.15</v>
      </c>
      <c r="E1925" s="55" t="s">
        <v>527</v>
      </c>
      <c r="F1925" s="55" t="s">
        <v>527</v>
      </c>
    </row>
    <row r="1926" spans="1:6">
      <c r="A1926" s="54">
        <v>41190</v>
      </c>
      <c r="B1926" s="55">
        <v>6.9729999999999999</v>
      </c>
      <c r="C1926" s="55">
        <v>4.5410000000000004</v>
      </c>
      <c r="D1926" s="55">
        <v>6.133</v>
      </c>
      <c r="E1926" s="55" t="s">
        <v>527</v>
      </c>
      <c r="F1926" s="55" t="s">
        <v>527</v>
      </c>
    </row>
    <row r="1927" spans="1:6">
      <c r="A1927" s="54">
        <v>41191</v>
      </c>
      <c r="B1927" s="55">
        <v>6.84</v>
      </c>
      <c r="C1927" s="55">
        <v>4.47</v>
      </c>
      <c r="D1927" s="55">
        <v>6.085</v>
      </c>
      <c r="E1927" s="55" t="s">
        <v>527</v>
      </c>
      <c r="F1927" s="55" t="s">
        <v>527</v>
      </c>
    </row>
    <row r="1928" spans="1:6">
      <c r="A1928" s="54">
        <v>41192</v>
      </c>
      <c r="B1928" s="55">
        <v>10.117000000000001</v>
      </c>
      <c r="C1928" s="55">
        <v>6.7130000000000001</v>
      </c>
      <c r="D1928" s="55">
        <v>8.5109999999999992</v>
      </c>
      <c r="E1928" s="55" t="s">
        <v>527</v>
      </c>
      <c r="F1928" s="55" t="s">
        <v>527</v>
      </c>
    </row>
    <row r="1929" spans="1:6">
      <c r="A1929" s="54">
        <v>41193</v>
      </c>
      <c r="B1929" s="55">
        <v>7.5739999999999998</v>
      </c>
      <c r="C1929" s="55">
        <v>5.0229999999999997</v>
      </c>
      <c r="D1929" s="55">
        <v>6.758</v>
      </c>
      <c r="E1929" s="55" t="s">
        <v>527</v>
      </c>
      <c r="F1929" s="55" t="s">
        <v>527</v>
      </c>
    </row>
    <row r="1930" spans="1:6">
      <c r="A1930" s="54">
        <v>41194</v>
      </c>
      <c r="B1930" s="55">
        <v>9.8179999999999996</v>
      </c>
      <c r="C1930" s="55">
        <v>6.3170000000000002</v>
      </c>
      <c r="D1930" s="55">
        <v>8.7040000000000006</v>
      </c>
      <c r="E1930" s="55" t="s">
        <v>527</v>
      </c>
      <c r="F1930" s="55" t="s">
        <v>527</v>
      </c>
    </row>
    <row r="1931" spans="1:6">
      <c r="A1931" s="54">
        <v>41195</v>
      </c>
      <c r="B1931" s="55">
        <v>12.826000000000001</v>
      </c>
      <c r="C1931" s="55">
        <v>8.1880000000000006</v>
      </c>
      <c r="D1931" s="55">
        <v>11.523</v>
      </c>
      <c r="E1931" s="55" t="s">
        <v>527</v>
      </c>
      <c r="F1931" s="55" t="s">
        <v>527</v>
      </c>
    </row>
    <row r="1932" spans="1:6">
      <c r="A1932" s="54">
        <v>41196</v>
      </c>
      <c r="B1932" s="55">
        <v>9.1159999999999997</v>
      </c>
      <c r="C1932" s="55">
        <v>5.49</v>
      </c>
      <c r="D1932" s="55">
        <v>7.8979999999999997</v>
      </c>
      <c r="E1932" s="55" t="s">
        <v>527</v>
      </c>
      <c r="F1932" s="55" t="s">
        <v>527</v>
      </c>
    </row>
    <row r="1933" spans="1:6">
      <c r="A1933" s="54">
        <v>41197</v>
      </c>
      <c r="B1933" s="55">
        <v>6.5590000000000002</v>
      </c>
      <c r="C1933" s="55">
        <v>4.2210000000000001</v>
      </c>
      <c r="D1933" s="55">
        <v>5.8410000000000002</v>
      </c>
      <c r="E1933" s="55" t="s">
        <v>527</v>
      </c>
      <c r="F1933" s="55" t="s">
        <v>527</v>
      </c>
    </row>
    <row r="1934" spans="1:6">
      <c r="A1934" s="54">
        <v>41198</v>
      </c>
      <c r="B1934" s="55">
        <v>6.8559999999999999</v>
      </c>
      <c r="C1934" s="55">
        <v>4.5529999999999999</v>
      </c>
      <c r="D1934" s="55">
        <v>6.1020000000000003</v>
      </c>
      <c r="E1934" s="55" t="s">
        <v>527</v>
      </c>
      <c r="F1934" s="55" t="s">
        <v>527</v>
      </c>
    </row>
    <row r="1935" spans="1:6">
      <c r="A1935" s="54">
        <v>41199</v>
      </c>
      <c r="B1935" s="55">
        <v>6.8259999999999996</v>
      </c>
      <c r="C1935" s="55">
        <v>4.5229999999999997</v>
      </c>
      <c r="D1935" s="55">
        <v>6.0579999999999998</v>
      </c>
      <c r="E1935" s="55" t="s">
        <v>527</v>
      </c>
      <c r="F1935" s="55" t="s">
        <v>527</v>
      </c>
    </row>
    <row r="1936" spans="1:6">
      <c r="A1936" s="54">
        <v>41200</v>
      </c>
      <c r="B1936" s="55">
        <v>6.9530000000000003</v>
      </c>
      <c r="C1936" s="55">
        <v>4.6059999999999999</v>
      </c>
      <c r="D1936" s="55">
        <v>6.0759999999999996</v>
      </c>
      <c r="E1936" s="55" t="s">
        <v>527</v>
      </c>
      <c r="F1936" s="55" t="s">
        <v>527</v>
      </c>
    </row>
    <row r="1937" spans="1:6">
      <c r="A1937" s="54">
        <v>41201</v>
      </c>
      <c r="B1937" s="55">
        <v>9.6790000000000003</v>
      </c>
      <c r="C1937" s="55">
        <v>6.1379999999999999</v>
      </c>
      <c r="D1937" s="55">
        <v>8.234</v>
      </c>
      <c r="E1937" s="55" t="s">
        <v>527</v>
      </c>
      <c r="F1937" s="55" t="s">
        <v>527</v>
      </c>
    </row>
    <row r="1938" spans="1:6">
      <c r="A1938" s="54">
        <v>41202</v>
      </c>
      <c r="B1938" s="55">
        <v>11.643000000000001</v>
      </c>
      <c r="C1938" s="55">
        <v>7.1509999999999998</v>
      </c>
      <c r="D1938" s="55">
        <v>9.68</v>
      </c>
      <c r="E1938" s="55" t="s">
        <v>527</v>
      </c>
      <c r="F1938" s="55" t="s">
        <v>527</v>
      </c>
    </row>
    <row r="1939" spans="1:6">
      <c r="A1939" s="54">
        <v>41203</v>
      </c>
      <c r="B1939" s="55">
        <v>9.5980000000000008</v>
      </c>
      <c r="C1939" s="55">
        <v>5.6639999999999997</v>
      </c>
      <c r="D1939" s="55">
        <v>7.867</v>
      </c>
      <c r="E1939" s="55" t="s">
        <v>527</v>
      </c>
      <c r="F1939" s="55" t="s">
        <v>527</v>
      </c>
    </row>
    <row r="1940" spans="1:6">
      <c r="A1940" s="54">
        <v>41204</v>
      </c>
      <c r="B1940" s="55">
        <v>7.335</v>
      </c>
      <c r="C1940" s="55">
        <v>4.6980000000000004</v>
      </c>
      <c r="D1940" s="55">
        <v>6.0069999999999997</v>
      </c>
      <c r="E1940" s="55" t="s">
        <v>527</v>
      </c>
      <c r="F1940" s="55" t="s">
        <v>527</v>
      </c>
    </row>
    <row r="1941" spans="1:6">
      <c r="A1941" s="54">
        <v>41205</v>
      </c>
      <c r="B1941" s="55">
        <v>7.5410000000000004</v>
      </c>
      <c r="C1941" s="55">
        <v>4.7480000000000002</v>
      </c>
      <c r="D1941" s="55">
        <v>5.68</v>
      </c>
      <c r="E1941" s="55" t="s">
        <v>527</v>
      </c>
      <c r="F1941" s="55" t="s">
        <v>527</v>
      </c>
    </row>
    <row r="1942" spans="1:6">
      <c r="A1942" s="54">
        <v>41206</v>
      </c>
      <c r="B1942" s="55">
        <v>8.1259999999999994</v>
      </c>
      <c r="C1942" s="55">
        <v>5.03</v>
      </c>
      <c r="D1942" s="55">
        <v>7.02</v>
      </c>
      <c r="E1942" s="55" t="s">
        <v>527</v>
      </c>
      <c r="F1942" s="55" t="s">
        <v>527</v>
      </c>
    </row>
    <row r="1943" spans="1:6">
      <c r="A1943" s="54">
        <v>41207</v>
      </c>
      <c r="B1943" s="55">
        <v>8.1869999999999994</v>
      </c>
      <c r="C1943" s="55">
        <v>5.2370000000000001</v>
      </c>
      <c r="D1943" s="55">
        <v>7.5170000000000003</v>
      </c>
      <c r="E1943" s="55" t="s">
        <v>527</v>
      </c>
      <c r="F1943" s="55" t="s">
        <v>527</v>
      </c>
    </row>
    <row r="1944" spans="1:6">
      <c r="A1944" s="54">
        <v>41208</v>
      </c>
      <c r="B1944" s="55">
        <v>10.391999999999999</v>
      </c>
      <c r="C1944" s="55">
        <v>6.56</v>
      </c>
      <c r="D1944" s="55">
        <v>9.4339999999999993</v>
      </c>
      <c r="E1944" s="55" t="s">
        <v>527</v>
      </c>
      <c r="F1944" s="55" t="s">
        <v>527</v>
      </c>
    </row>
    <row r="1945" spans="1:6">
      <c r="A1945" s="54">
        <v>41209</v>
      </c>
      <c r="B1945" s="55">
        <v>12.509</v>
      </c>
      <c r="C1945" s="55">
        <v>7.6319999999999997</v>
      </c>
      <c r="D1945" s="55">
        <v>11.186999999999999</v>
      </c>
      <c r="E1945" s="55" t="s">
        <v>527</v>
      </c>
      <c r="F1945" s="55" t="s">
        <v>527</v>
      </c>
    </row>
    <row r="1946" spans="1:6">
      <c r="A1946" s="54">
        <v>41210</v>
      </c>
      <c r="B1946" s="55">
        <v>11.086</v>
      </c>
      <c r="C1946" s="55">
        <v>6.65</v>
      </c>
      <c r="D1946" s="55">
        <v>9.7469999999999999</v>
      </c>
      <c r="E1946" s="55" t="s">
        <v>527</v>
      </c>
      <c r="F1946" s="55" t="s">
        <v>527</v>
      </c>
    </row>
    <row r="1947" spans="1:6">
      <c r="A1947" s="54">
        <v>41211</v>
      </c>
      <c r="B1947" s="55">
        <v>8.8290000000000006</v>
      </c>
      <c r="C1947" s="55">
        <v>5.5579999999999998</v>
      </c>
      <c r="D1947" s="55">
        <v>7.83</v>
      </c>
      <c r="E1947" s="55" t="s">
        <v>527</v>
      </c>
      <c r="F1947" s="55" t="s">
        <v>527</v>
      </c>
    </row>
    <row r="1948" spans="1:6">
      <c r="A1948" s="54">
        <v>41212</v>
      </c>
      <c r="B1948" s="55">
        <v>8.4649999999999999</v>
      </c>
      <c r="C1948" s="55">
        <v>5.367</v>
      </c>
      <c r="D1948" s="55">
        <v>7.5149999999999997</v>
      </c>
      <c r="E1948" s="55" t="s">
        <v>527</v>
      </c>
      <c r="F1948" s="55" t="s">
        <v>527</v>
      </c>
    </row>
    <row r="1949" spans="1:6">
      <c r="A1949" s="54">
        <v>41213</v>
      </c>
      <c r="B1949" s="55">
        <v>8.4309999999999992</v>
      </c>
      <c r="C1949" s="55">
        <v>4.8920000000000003</v>
      </c>
      <c r="D1949" s="55">
        <v>6.9939999999999998</v>
      </c>
      <c r="E1949" s="55" t="s">
        <v>527</v>
      </c>
      <c r="F1949" s="55" t="s">
        <v>527</v>
      </c>
    </row>
    <row r="1950" spans="1:6">
      <c r="A1950" s="56"/>
    </row>
    <row r="1951" spans="1:6">
      <c r="A1951" s="57" t="s">
        <v>589</v>
      </c>
    </row>
    <row r="1952" spans="1:6">
      <c r="A1952" s="57" t="s">
        <v>529</v>
      </c>
    </row>
    <row r="1953" spans="1:6" ht="18">
      <c r="A1953" s="58">
        <v>236.24799999999999</v>
      </c>
    </row>
    <row r="1954" spans="1:6">
      <c r="A1954" s="57" t="s">
        <v>531</v>
      </c>
    </row>
    <row r="1955" spans="1:6">
      <c r="A1955" s="59">
        <v>129.81100000000001</v>
      </c>
    </row>
    <row r="1956" spans="1:6">
      <c r="A1956" s="57" t="s">
        <v>533</v>
      </c>
    </row>
    <row r="1957" spans="1:6">
      <c r="A1957" s="60">
        <v>29952</v>
      </c>
    </row>
    <row r="1958" spans="1:6">
      <c r="A1958" s="61"/>
    </row>
    <row r="1959" spans="1:6" ht="30">
      <c r="A1959" s="52" t="s">
        <v>521</v>
      </c>
      <c r="B1959" s="52" t="s">
        <v>522</v>
      </c>
      <c r="C1959" s="52" t="s">
        <v>523</v>
      </c>
      <c r="D1959" s="53" t="s">
        <v>524</v>
      </c>
      <c r="E1959" s="53" t="s">
        <v>525</v>
      </c>
      <c r="F1959" s="53" t="s">
        <v>526</v>
      </c>
    </row>
    <row r="1960" spans="1:6">
      <c r="A1960" s="54">
        <v>41214</v>
      </c>
      <c r="B1960" s="55">
        <v>9.1059999999999999</v>
      </c>
      <c r="C1960" s="55">
        <v>5.28</v>
      </c>
      <c r="D1960" s="55">
        <v>7.6379999999999999</v>
      </c>
      <c r="E1960" s="55" t="s">
        <v>527</v>
      </c>
      <c r="F1960" s="55" t="s">
        <v>527</v>
      </c>
    </row>
    <row r="1961" spans="1:6">
      <c r="A1961" s="54">
        <v>41215</v>
      </c>
      <c r="B1961" s="55">
        <v>10.948</v>
      </c>
      <c r="C1961" s="55">
        <v>6.44</v>
      </c>
      <c r="D1961" s="55">
        <v>9.3379999999999992</v>
      </c>
      <c r="E1961" s="55" t="s">
        <v>527</v>
      </c>
      <c r="F1961" s="55" t="s">
        <v>527</v>
      </c>
    </row>
    <row r="1962" spans="1:6">
      <c r="A1962" s="54">
        <v>41216</v>
      </c>
      <c r="B1962" s="55">
        <v>12.121</v>
      </c>
      <c r="C1962" s="55">
        <v>7.0039999999999996</v>
      </c>
      <c r="D1962" s="55">
        <v>10.433999999999999</v>
      </c>
      <c r="E1962" s="55" t="s">
        <v>527</v>
      </c>
      <c r="F1962" s="55" t="s">
        <v>527</v>
      </c>
    </row>
    <row r="1963" spans="1:6">
      <c r="A1963" s="54">
        <v>41217</v>
      </c>
      <c r="B1963" s="55">
        <v>10.682</v>
      </c>
      <c r="C1963" s="55">
        <v>5.4089999999999998</v>
      </c>
      <c r="D1963" s="55">
        <v>8.0370000000000008</v>
      </c>
      <c r="E1963" s="55" t="s">
        <v>527</v>
      </c>
      <c r="F1963" s="55" t="s">
        <v>527</v>
      </c>
    </row>
    <row r="1964" spans="1:6">
      <c r="A1964" s="54">
        <v>41218</v>
      </c>
      <c r="B1964" s="55">
        <v>7.3230000000000004</v>
      </c>
      <c r="C1964" s="55">
        <v>4.2990000000000004</v>
      </c>
      <c r="D1964" s="55">
        <v>6.0679999999999996</v>
      </c>
      <c r="E1964" s="55" t="s">
        <v>527</v>
      </c>
      <c r="F1964" s="55" t="s">
        <v>527</v>
      </c>
    </row>
    <row r="1965" spans="1:6">
      <c r="A1965" s="54">
        <v>41219</v>
      </c>
      <c r="B1965" s="55">
        <v>7.2729999999999997</v>
      </c>
      <c r="C1965" s="55">
        <v>4.4349999999999996</v>
      </c>
      <c r="D1965" s="55">
        <v>6.2530000000000001</v>
      </c>
      <c r="E1965" s="55" t="s">
        <v>527</v>
      </c>
      <c r="F1965" s="55" t="s">
        <v>527</v>
      </c>
    </row>
    <row r="1966" spans="1:6">
      <c r="A1966" s="54">
        <v>41220</v>
      </c>
      <c r="B1966" s="55">
        <v>8.0020000000000007</v>
      </c>
      <c r="C1966" s="55">
        <v>4.43</v>
      </c>
      <c r="D1966" s="55">
        <v>6.3150000000000004</v>
      </c>
      <c r="E1966" s="55" t="s">
        <v>527</v>
      </c>
      <c r="F1966" s="55" t="s">
        <v>527</v>
      </c>
    </row>
    <row r="1967" spans="1:6">
      <c r="A1967" s="54">
        <v>41221</v>
      </c>
      <c r="B1967" s="55">
        <v>7.4489999999999998</v>
      </c>
      <c r="C1967" s="55">
        <v>4.6289999999999996</v>
      </c>
      <c r="D1967" s="55">
        <v>6.5469999999999997</v>
      </c>
      <c r="E1967" s="55" t="s">
        <v>527</v>
      </c>
      <c r="F1967" s="55" t="s">
        <v>527</v>
      </c>
    </row>
    <row r="1968" spans="1:6">
      <c r="A1968" s="54">
        <v>41222</v>
      </c>
      <c r="B1968" s="55">
        <v>9.218</v>
      </c>
      <c r="C1968" s="55">
        <v>5.9749999999999996</v>
      </c>
      <c r="D1968" s="55">
        <v>8.3620000000000001</v>
      </c>
      <c r="E1968" s="55" t="s">
        <v>527</v>
      </c>
      <c r="F1968" s="55" t="s">
        <v>527</v>
      </c>
    </row>
    <row r="1969" spans="1:6">
      <c r="A1969" s="54">
        <v>41223</v>
      </c>
      <c r="B1969" s="55">
        <v>11.57</v>
      </c>
      <c r="C1969" s="55">
        <v>7.0229999999999997</v>
      </c>
      <c r="D1969" s="55">
        <v>10.505000000000001</v>
      </c>
      <c r="E1969" s="55" t="s">
        <v>527</v>
      </c>
      <c r="F1969" s="55" t="s">
        <v>527</v>
      </c>
    </row>
    <row r="1970" spans="1:6">
      <c r="A1970" s="54">
        <v>41224</v>
      </c>
      <c r="B1970" s="55">
        <v>8.9139999999999997</v>
      </c>
      <c r="C1970" s="55">
        <v>5.4470000000000001</v>
      </c>
      <c r="D1970" s="55">
        <v>8.0250000000000004</v>
      </c>
      <c r="E1970" s="55" t="s">
        <v>527</v>
      </c>
      <c r="F1970" s="55" t="s">
        <v>527</v>
      </c>
    </row>
    <row r="1971" spans="1:6">
      <c r="A1971" s="54">
        <v>41225</v>
      </c>
      <c r="B1971" s="55">
        <v>6.6150000000000002</v>
      </c>
      <c r="C1971" s="55">
        <v>4.2649999999999997</v>
      </c>
      <c r="D1971" s="55">
        <v>5.9089999999999998</v>
      </c>
      <c r="E1971" s="55" t="s">
        <v>527</v>
      </c>
      <c r="F1971" s="55" t="s">
        <v>527</v>
      </c>
    </row>
    <row r="1972" spans="1:6">
      <c r="A1972" s="54">
        <v>41226</v>
      </c>
      <c r="B1972" s="55">
        <v>6.53</v>
      </c>
      <c r="C1972" s="55">
        <v>4.2169999999999996</v>
      </c>
      <c r="D1972" s="55">
        <v>5.9370000000000003</v>
      </c>
      <c r="E1972" s="55" t="s">
        <v>527</v>
      </c>
      <c r="F1972" s="55" t="s">
        <v>527</v>
      </c>
    </row>
    <row r="1973" spans="1:6">
      <c r="A1973" s="54">
        <v>41227</v>
      </c>
      <c r="B1973" s="55">
        <v>7.1369999999999996</v>
      </c>
      <c r="C1973" s="55">
        <v>4.649</v>
      </c>
      <c r="D1973" s="55">
        <v>6.56</v>
      </c>
      <c r="E1973" s="55" t="s">
        <v>527</v>
      </c>
      <c r="F1973" s="55" t="s">
        <v>527</v>
      </c>
    </row>
    <row r="1974" spans="1:6">
      <c r="A1974" s="54">
        <v>41228</v>
      </c>
      <c r="B1974" s="55">
        <v>7.16</v>
      </c>
      <c r="C1974" s="55">
        <v>4.7649999999999997</v>
      </c>
      <c r="D1974" s="55">
        <v>6.7779999999999996</v>
      </c>
      <c r="E1974" s="55" t="s">
        <v>527</v>
      </c>
      <c r="F1974" s="55" t="s">
        <v>527</v>
      </c>
    </row>
    <row r="1975" spans="1:6">
      <c r="A1975" s="54">
        <v>41229</v>
      </c>
      <c r="B1975" s="55">
        <v>11.243</v>
      </c>
      <c r="C1975" s="55">
        <v>7.5960000000000001</v>
      </c>
      <c r="D1975" s="55">
        <v>10.61</v>
      </c>
      <c r="E1975" s="55" t="s">
        <v>527</v>
      </c>
      <c r="F1975" s="55" t="s">
        <v>527</v>
      </c>
    </row>
    <row r="1976" spans="1:6">
      <c r="A1976" s="54">
        <v>41230</v>
      </c>
      <c r="B1976" s="55">
        <v>11.981999999999999</v>
      </c>
      <c r="C1976" s="55">
        <v>7.4480000000000004</v>
      </c>
      <c r="D1976" s="55">
        <v>11.186</v>
      </c>
      <c r="E1976" s="55" t="s">
        <v>527</v>
      </c>
      <c r="F1976" s="55" t="s">
        <v>527</v>
      </c>
    </row>
    <row r="1977" spans="1:6">
      <c r="A1977" s="54">
        <v>41231</v>
      </c>
      <c r="B1977" s="55">
        <v>9.4480000000000004</v>
      </c>
      <c r="C1977" s="55">
        <v>5.94</v>
      </c>
      <c r="D1977" s="55">
        <v>8.7170000000000005</v>
      </c>
      <c r="E1977" s="55" t="s">
        <v>527</v>
      </c>
      <c r="F1977" s="55" t="s">
        <v>527</v>
      </c>
    </row>
    <row r="1978" spans="1:6">
      <c r="A1978" s="54">
        <v>41232</v>
      </c>
      <c r="B1978" s="55">
        <v>7.5069999999999997</v>
      </c>
      <c r="C1978" s="55">
        <v>4.8099999999999996</v>
      </c>
      <c r="D1978" s="55">
        <v>6.93</v>
      </c>
      <c r="E1978" s="55" t="s">
        <v>527</v>
      </c>
      <c r="F1978" s="55" t="s">
        <v>527</v>
      </c>
    </row>
    <row r="1979" spans="1:6">
      <c r="A1979" s="54">
        <v>41233</v>
      </c>
      <c r="B1979" s="55">
        <v>7.609</v>
      </c>
      <c r="C1979" s="55">
        <v>4.8789999999999996</v>
      </c>
      <c r="D1979" s="55">
        <v>6.9909999999999997</v>
      </c>
      <c r="E1979" s="55" t="s">
        <v>527</v>
      </c>
      <c r="F1979" s="55" t="s">
        <v>527</v>
      </c>
    </row>
    <row r="1980" spans="1:6">
      <c r="A1980" s="54">
        <v>41234</v>
      </c>
      <c r="B1980" s="55">
        <v>8.0350000000000001</v>
      </c>
      <c r="C1980" s="55">
        <v>5.1550000000000002</v>
      </c>
      <c r="D1980" s="55">
        <v>7.3390000000000004</v>
      </c>
      <c r="E1980" s="55" t="s">
        <v>527</v>
      </c>
      <c r="F1980" s="55" t="s">
        <v>527</v>
      </c>
    </row>
    <row r="1981" spans="1:6">
      <c r="A1981" s="54">
        <v>41235</v>
      </c>
      <c r="B1981" s="55">
        <v>8.2390000000000008</v>
      </c>
      <c r="C1981" s="55">
        <v>5.226</v>
      </c>
      <c r="D1981" s="55">
        <v>7.5789999999999997</v>
      </c>
      <c r="E1981" s="55" t="s">
        <v>527</v>
      </c>
      <c r="F1981" s="55" t="s">
        <v>527</v>
      </c>
    </row>
    <row r="1982" spans="1:6">
      <c r="A1982" s="54">
        <v>41236</v>
      </c>
      <c r="B1982" s="55">
        <v>10.571999999999999</v>
      </c>
      <c r="C1982" s="55">
        <v>6.7779999999999996</v>
      </c>
      <c r="D1982" s="55">
        <v>9.8409999999999993</v>
      </c>
      <c r="E1982" s="55" t="s">
        <v>527</v>
      </c>
      <c r="F1982" s="55" t="s">
        <v>527</v>
      </c>
    </row>
    <row r="1983" spans="1:6">
      <c r="A1983" s="54">
        <v>41237</v>
      </c>
      <c r="B1983" s="55">
        <v>12.255000000000001</v>
      </c>
      <c r="C1983" s="55">
        <v>7.6689999999999996</v>
      </c>
      <c r="D1983" s="55">
        <v>11.413</v>
      </c>
      <c r="E1983" s="55" t="s">
        <v>527</v>
      </c>
      <c r="F1983" s="55" t="s">
        <v>527</v>
      </c>
    </row>
    <row r="1984" spans="1:6">
      <c r="A1984" s="54">
        <v>41238</v>
      </c>
      <c r="B1984" s="55">
        <v>8.9930000000000003</v>
      </c>
      <c r="C1984" s="55">
        <v>5.6029999999999998</v>
      </c>
      <c r="D1984" s="55">
        <v>8.3580000000000005</v>
      </c>
      <c r="E1984" s="55" t="s">
        <v>527</v>
      </c>
      <c r="F1984" s="55" t="s">
        <v>527</v>
      </c>
    </row>
    <row r="1985" spans="1:6">
      <c r="A1985" s="54">
        <v>41239</v>
      </c>
      <c r="B1985" s="55">
        <v>6.4180000000000001</v>
      </c>
      <c r="C1985" s="55">
        <v>4.32</v>
      </c>
      <c r="D1985" s="55">
        <v>5.9740000000000002</v>
      </c>
      <c r="E1985" s="55" t="s">
        <v>527</v>
      </c>
      <c r="F1985" s="55" t="s">
        <v>527</v>
      </c>
    </row>
    <row r="1986" spans="1:6">
      <c r="A1986" s="54">
        <v>41240</v>
      </c>
      <c r="B1986" s="55">
        <v>6.5860000000000003</v>
      </c>
      <c r="C1986" s="55">
        <v>4.3630000000000004</v>
      </c>
      <c r="D1986" s="55">
        <v>6.1340000000000003</v>
      </c>
      <c r="E1986" s="55" t="s">
        <v>527</v>
      </c>
      <c r="F1986" s="55" t="s">
        <v>527</v>
      </c>
    </row>
    <row r="1987" spans="1:6">
      <c r="A1987" s="54">
        <v>41241</v>
      </c>
      <c r="B1987" s="55">
        <v>6.9909999999999997</v>
      </c>
      <c r="C1987" s="55">
        <v>4.6020000000000003</v>
      </c>
      <c r="D1987" s="55">
        <v>6.516</v>
      </c>
      <c r="E1987" s="55" t="s">
        <v>527</v>
      </c>
      <c r="F1987" s="55" t="s">
        <v>527</v>
      </c>
    </row>
    <row r="1988" spans="1:6">
      <c r="A1988" s="54">
        <v>41242</v>
      </c>
      <c r="B1988" s="55">
        <v>7.1890000000000001</v>
      </c>
      <c r="C1988" s="55">
        <v>4.7270000000000003</v>
      </c>
      <c r="D1988" s="55">
        <v>6.7</v>
      </c>
      <c r="E1988" s="55" t="s">
        <v>527</v>
      </c>
      <c r="F1988" s="55" t="s">
        <v>527</v>
      </c>
    </row>
    <row r="1989" spans="1:6">
      <c r="A1989" s="54">
        <v>41243</v>
      </c>
      <c r="B1989" s="55">
        <v>9.9250000000000007</v>
      </c>
      <c r="C1989" s="55">
        <v>6.3739999999999997</v>
      </c>
      <c r="D1989" s="55">
        <v>9.2539999999999996</v>
      </c>
      <c r="E1989" s="55" t="s">
        <v>527</v>
      </c>
      <c r="F1989" s="55" t="s">
        <v>527</v>
      </c>
    </row>
    <row r="1990" spans="1:6">
      <c r="A1990" s="56"/>
    </row>
    <row r="1991" spans="1:6">
      <c r="A1991" s="57" t="s">
        <v>590</v>
      </c>
    </row>
    <row r="1992" spans="1:6">
      <c r="A1992" s="57" t="s">
        <v>529</v>
      </c>
    </row>
    <row r="1993" spans="1:6" ht="18">
      <c r="A1993" s="58">
        <v>340.017</v>
      </c>
    </row>
    <row r="1994" spans="1:6">
      <c r="A1994" s="57" t="s">
        <v>531</v>
      </c>
    </row>
    <row r="1995" spans="1:6">
      <c r="A1995" s="59">
        <v>196.489</v>
      </c>
    </row>
    <row r="1996" spans="1:6">
      <c r="A1996" s="57" t="s">
        <v>533</v>
      </c>
    </row>
    <row r="1997" spans="1:6">
      <c r="A1997" s="60">
        <v>26665</v>
      </c>
    </row>
    <row r="1998" spans="1:6">
      <c r="A1998" s="61"/>
    </row>
    <row r="1999" spans="1:6" ht="30">
      <c r="A1999" s="52" t="s">
        <v>521</v>
      </c>
      <c r="B1999" s="52" t="s">
        <v>522</v>
      </c>
      <c r="C1999" s="52" t="s">
        <v>523</v>
      </c>
      <c r="D1999" s="53" t="s">
        <v>524</v>
      </c>
      <c r="E1999" s="53" t="s">
        <v>525</v>
      </c>
      <c r="F1999" s="53" t="s">
        <v>526</v>
      </c>
    </row>
    <row r="2000" spans="1:6">
      <c r="A2000" s="54">
        <v>41244</v>
      </c>
      <c r="B2000" s="55">
        <v>12.022</v>
      </c>
      <c r="C2000" s="55">
        <v>7.4749999999999996</v>
      </c>
      <c r="D2000" s="55">
        <v>11.173</v>
      </c>
      <c r="E2000" s="55" t="s">
        <v>527</v>
      </c>
      <c r="F2000" s="55" t="s">
        <v>527</v>
      </c>
    </row>
    <row r="2001" spans="1:6">
      <c r="A2001" s="54">
        <v>41245</v>
      </c>
      <c r="B2001" s="55">
        <v>9.1419999999999995</v>
      </c>
      <c r="C2001" s="55">
        <v>5.64</v>
      </c>
      <c r="D2001" s="55">
        <v>8.3719999999999999</v>
      </c>
      <c r="E2001" s="55" t="s">
        <v>527</v>
      </c>
      <c r="F2001" s="55" t="s">
        <v>527</v>
      </c>
    </row>
    <row r="2002" spans="1:6">
      <c r="A2002" s="54">
        <v>41246</v>
      </c>
      <c r="B2002" s="55">
        <v>6.649</v>
      </c>
      <c r="C2002" s="55">
        <v>4.4219999999999997</v>
      </c>
      <c r="D2002" s="55">
        <v>6.1459999999999999</v>
      </c>
      <c r="E2002" s="55" t="s">
        <v>527</v>
      </c>
      <c r="F2002" s="55" t="s">
        <v>527</v>
      </c>
    </row>
    <row r="2003" spans="1:6">
      <c r="A2003" s="54">
        <v>41247</v>
      </c>
      <c r="B2003" s="55">
        <v>7.7809999999999997</v>
      </c>
      <c r="C2003" s="55">
        <v>5.2569999999999997</v>
      </c>
      <c r="D2003" s="55">
        <v>6.9459999999999997</v>
      </c>
      <c r="E2003" s="55" t="s">
        <v>527</v>
      </c>
      <c r="F2003" s="55" t="s">
        <v>527</v>
      </c>
    </row>
    <row r="2004" spans="1:6">
      <c r="A2004" s="54">
        <v>41248</v>
      </c>
      <c r="B2004" s="55">
        <v>7.5430000000000001</v>
      </c>
      <c r="C2004" s="55">
        <v>4.9619999999999997</v>
      </c>
      <c r="D2004" s="55">
        <v>6.94</v>
      </c>
      <c r="E2004" s="55" t="s">
        <v>527</v>
      </c>
      <c r="F2004" s="55" t="s">
        <v>527</v>
      </c>
    </row>
    <row r="2005" spans="1:6">
      <c r="A2005" s="54">
        <v>41249</v>
      </c>
      <c r="B2005" s="55">
        <v>7.3780000000000001</v>
      </c>
      <c r="C2005" s="55">
        <v>4.8609999999999998</v>
      </c>
      <c r="D2005" s="55">
        <v>6.8490000000000002</v>
      </c>
      <c r="E2005" s="55" t="s">
        <v>527</v>
      </c>
      <c r="F2005" s="55" t="s">
        <v>527</v>
      </c>
    </row>
    <row r="2006" spans="1:6">
      <c r="A2006" s="54">
        <v>41250</v>
      </c>
      <c r="B2006" s="55">
        <v>9.8160000000000007</v>
      </c>
      <c r="C2006" s="55">
        <v>6.5650000000000004</v>
      </c>
      <c r="D2006" s="55">
        <v>9.1379999999999999</v>
      </c>
      <c r="E2006" s="55" t="s">
        <v>527</v>
      </c>
      <c r="F2006" s="55" t="s">
        <v>527</v>
      </c>
    </row>
    <row r="2007" spans="1:6">
      <c r="A2007" s="54">
        <v>41251</v>
      </c>
      <c r="B2007" s="55">
        <v>12.433</v>
      </c>
      <c r="C2007" s="55">
        <v>7.7830000000000004</v>
      </c>
      <c r="D2007" s="55">
        <v>11.512</v>
      </c>
      <c r="E2007" s="55" t="s">
        <v>527</v>
      </c>
      <c r="F2007" s="55" t="s">
        <v>527</v>
      </c>
    </row>
    <row r="2008" spans="1:6">
      <c r="A2008" s="54">
        <v>41252</v>
      </c>
      <c r="B2008" s="55">
        <v>10.477</v>
      </c>
      <c r="C2008" s="55">
        <v>6.5789999999999997</v>
      </c>
      <c r="D2008" s="55">
        <v>9.7240000000000002</v>
      </c>
      <c r="E2008" s="55" t="s">
        <v>527</v>
      </c>
      <c r="F2008" s="55" t="s">
        <v>527</v>
      </c>
    </row>
    <row r="2009" spans="1:6">
      <c r="A2009" s="54">
        <v>41253</v>
      </c>
      <c r="B2009" s="55">
        <v>8.6920000000000002</v>
      </c>
      <c r="C2009" s="55">
        <v>5.8550000000000004</v>
      </c>
      <c r="D2009" s="55">
        <v>8.109</v>
      </c>
      <c r="E2009" s="55" t="s">
        <v>527</v>
      </c>
      <c r="F2009" s="55" t="s">
        <v>527</v>
      </c>
    </row>
    <row r="2010" spans="1:6">
      <c r="A2010" s="54">
        <v>41254</v>
      </c>
      <c r="B2010" s="55">
        <v>8.2859999999999996</v>
      </c>
      <c r="C2010" s="55">
        <v>5.3849999999999998</v>
      </c>
      <c r="D2010" s="55">
        <v>7.7450000000000001</v>
      </c>
      <c r="E2010" s="55" t="s">
        <v>527</v>
      </c>
      <c r="F2010" s="55" t="s">
        <v>527</v>
      </c>
    </row>
    <row r="2011" spans="1:6">
      <c r="A2011" s="54">
        <v>41255</v>
      </c>
      <c r="B2011" s="55">
        <v>8.5540000000000003</v>
      </c>
      <c r="C2011" s="55">
        <v>5.7939999999999996</v>
      </c>
      <c r="D2011" s="55">
        <v>8.0250000000000004</v>
      </c>
      <c r="E2011" s="55" t="s">
        <v>527</v>
      </c>
      <c r="F2011" s="55" t="s">
        <v>527</v>
      </c>
    </row>
    <row r="2012" spans="1:6">
      <c r="A2012" s="54">
        <v>41256</v>
      </c>
      <c r="B2012" s="55">
        <v>9.09</v>
      </c>
      <c r="C2012" s="55">
        <v>6.02</v>
      </c>
      <c r="D2012" s="55">
        <v>8.5410000000000004</v>
      </c>
      <c r="E2012" s="55" t="s">
        <v>527</v>
      </c>
      <c r="F2012" s="55" t="s">
        <v>527</v>
      </c>
    </row>
    <row r="2013" spans="1:6">
      <c r="A2013" s="54">
        <v>41257</v>
      </c>
      <c r="B2013" s="55">
        <v>11.733000000000001</v>
      </c>
      <c r="C2013" s="55">
        <v>7.9180000000000001</v>
      </c>
      <c r="D2013" s="55">
        <v>11.048999999999999</v>
      </c>
      <c r="E2013" s="55" t="s">
        <v>527</v>
      </c>
      <c r="F2013" s="55" t="s">
        <v>527</v>
      </c>
    </row>
    <row r="2014" spans="1:6">
      <c r="A2014" s="54">
        <v>41258</v>
      </c>
      <c r="B2014" s="55">
        <v>13.832000000000001</v>
      </c>
      <c r="C2014" s="55">
        <v>8.6560000000000006</v>
      </c>
      <c r="D2014" s="55">
        <v>12.925000000000001</v>
      </c>
      <c r="E2014" s="55" t="s">
        <v>527</v>
      </c>
      <c r="F2014" s="55" t="s">
        <v>527</v>
      </c>
    </row>
    <row r="2015" spans="1:6">
      <c r="A2015" s="54">
        <v>41259</v>
      </c>
      <c r="B2015" s="55">
        <v>11.145</v>
      </c>
      <c r="C2015" s="55">
        <v>7.0209999999999999</v>
      </c>
      <c r="D2015" s="55">
        <v>10.438000000000001</v>
      </c>
      <c r="E2015" s="55" t="s">
        <v>527</v>
      </c>
      <c r="F2015" s="55" t="s">
        <v>527</v>
      </c>
    </row>
    <row r="2016" spans="1:6">
      <c r="A2016" s="54">
        <v>41260</v>
      </c>
      <c r="B2016" s="55">
        <v>9.1010000000000009</v>
      </c>
      <c r="C2016" s="55">
        <v>6.1689999999999996</v>
      </c>
      <c r="D2016" s="55">
        <v>8.4870000000000001</v>
      </c>
      <c r="E2016" s="55" t="s">
        <v>527</v>
      </c>
      <c r="F2016" s="55" t="s">
        <v>527</v>
      </c>
    </row>
    <row r="2017" spans="1:6">
      <c r="A2017" s="54">
        <v>41261</v>
      </c>
      <c r="B2017" s="55">
        <v>9.9499999999999993</v>
      </c>
      <c r="C2017" s="55">
        <v>6.7709999999999999</v>
      </c>
      <c r="D2017" s="55">
        <v>9.33</v>
      </c>
      <c r="E2017" s="55" t="s">
        <v>527</v>
      </c>
      <c r="F2017" s="55" t="s">
        <v>527</v>
      </c>
    </row>
    <row r="2018" spans="1:6">
      <c r="A2018" s="54">
        <v>41262</v>
      </c>
      <c r="B2018" s="55">
        <v>11.032</v>
      </c>
      <c r="C2018" s="55">
        <v>7.6619999999999999</v>
      </c>
      <c r="D2018" s="55">
        <v>10.433</v>
      </c>
      <c r="E2018" s="55" t="s">
        <v>527</v>
      </c>
      <c r="F2018" s="55" t="s">
        <v>527</v>
      </c>
    </row>
    <row r="2019" spans="1:6">
      <c r="A2019" s="54">
        <v>41263</v>
      </c>
      <c r="B2019" s="55">
        <v>11.858000000000001</v>
      </c>
      <c r="C2019" s="55">
        <v>8.0860000000000003</v>
      </c>
      <c r="D2019" s="55">
        <v>11.090999999999999</v>
      </c>
      <c r="E2019" s="55" t="s">
        <v>527</v>
      </c>
      <c r="F2019" s="55" t="s">
        <v>527</v>
      </c>
    </row>
    <row r="2020" spans="1:6">
      <c r="A2020" s="54">
        <v>41264</v>
      </c>
      <c r="B2020" s="55">
        <v>14.875999999999999</v>
      </c>
      <c r="C2020" s="55">
        <v>9.8949999999999996</v>
      </c>
      <c r="D2020" s="55">
        <v>13.942</v>
      </c>
      <c r="E2020" s="55" t="s">
        <v>527</v>
      </c>
      <c r="F2020" s="55" t="s">
        <v>527</v>
      </c>
    </row>
    <row r="2021" spans="1:6">
      <c r="A2021" s="54">
        <v>41265</v>
      </c>
      <c r="B2021" s="55">
        <v>16.350000000000001</v>
      </c>
      <c r="C2021" s="55">
        <v>10.624000000000001</v>
      </c>
      <c r="D2021" s="55">
        <v>15.419</v>
      </c>
      <c r="E2021" s="55" t="s">
        <v>527</v>
      </c>
      <c r="F2021" s="55" t="s">
        <v>527</v>
      </c>
    </row>
    <row r="2022" spans="1:6">
      <c r="A2022" s="54">
        <v>41266</v>
      </c>
      <c r="B2022" s="55">
        <v>14.260999999999999</v>
      </c>
      <c r="C2022" s="55">
        <v>9.2799999999999994</v>
      </c>
      <c r="D2022" s="55">
        <v>13.371</v>
      </c>
      <c r="E2022" s="55" t="s">
        <v>527</v>
      </c>
      <c r="F2022" s="55" t="s">
        <v>527</v>
      </c>
    </row>
    <row r="2023" spans="1:6">
      <c r="A2023" s="54">
        <v>41267</v>
      </c>
      <c r="B2023" s="55">
        <v>12.323</v>
      </c>
      <c r="C2023" s="55">
        <v>8.1020000000000003</v>
      </c>
      <c r="D2023" s="55">
        <v>11.568</v>
      </c>
      <c r="E2023" s="55" t="s">
        <v>527</v>
      </c>
      <c r="F2023" s="55" t="s">
        <v>527</v>
      </c>
    </row>
    <row r="2024" spans="1:6">
      <c r="A2024" s="54">
        <v>41268</v>
      </c>
      <c r="B2024" s="55">
        <v>10.69</v>
      </c>
      <c r="C2024" s="55">
        <v>7.2450000000000001</v>
      </c>
      <c r="D2024" s="55">
        <v>10.013</v>
      </c>
      <c r="E2024" s="55" t="s">
        <v>527</v>
      </c>
      <c r="F2024" s="55" t="s">
        <v>527</v>
      </c>
    </row>
    <row r="2025" spans="1:6">
      <c r="A2025" s="54">
        <v>41269</v>
      </c>
      <c r="B2025" s="55">
        <v>11.377000000000001</v>
      </c>
      <c r="C2025" s="55">
        <v>7.5910000000000002</v>
      </c>
      <c r="D2025" s="55">
        <v>10.737</v>
      </c>
      <c r="E2025" s="55" t="s">
        <v>527</v>
      </c>
      <c r="F2025" s="55" t="s">
        <v>527</v>
      </c>
    </row>
    <row r="2026" spans="1:6">
      <c r="A2026" s="54">
        <v>41270</v>
      </c>
      <c r="B2026" s="55">
        <v>12.242000000000001</v>
      </c>
      <c r="C2026" s="55">
        <v>8.0150000000000006</v>
      </c>
      <c r="D2026" s="55">
        <v>11.532</v>
      </c>
      <c r="E2026" s="55" t="s">
        <v>527</v>
      </c>
      <c r="F2026" s="55" t="s">
        <v>527</v>
      </c>
    </row>
    <row r="2027" spans="1:6">
      <c r="A2027" s="54">
        <v>41271</v>
      </c>
      <c r="B2027" s="55">
        <v>14.159000000000001</v>
      </c>
      <c r="C2027" s="55">
        <v>9.5730000000000004</v>
      </c>
      <c r="D2027" s="55">
        <v>13.476000000000001</v>
      </c>
      <c r="E2027" s="55" t="s">
        <v>527</v>
      </c>
      <c r="F2027" s="55" t="s">
        <v>527</v>
      </c>
    </row>
    <row r="2028" spans="1:6">
      <c r="A2028" s="54">
        <v>41272</v>
      </c>
      <c r="B2028" s="55">
        <v>19.192</v>
      </c>
      <c r="C2028" s="55">
        <v>13.521000000000001</v>
      </c>
      <c r="D2028" s="55">
        <v>18.437999999999999</v>
      </c>
      <c r="E2028" s="55" t="s">
        <v>527</v>
      </c>
      <c r="F2028" s="55" t="s">
        <v>527</v>
      </c>
    </row>
    <row r="2029" spans="1:6">
      <c r="A2029" s="54">
        <v>41273</v>
      </c>
      <c r="B2029" s="55">
        <v>19.600000000000001</v>
      </c>
      <c r="C2029" s="55">
        <v>13.670999999999999</v>
      </c>
      <c r="D2029" s="55">
        <v>18.841999999999999</v>
      </c>
      <c r="E2029" s="55" t="s">
        <v>527</v>
      </c>
      <c r="F2029" s="55" t="s">
        <v>527</v>
      </c>
    </row>
    <row r="2030" spans="1:6">
      <c r="A2030" s="54">
        <v>41274</v>
      </c>
      <c r="B2030" s="55">
        <v>20.516999999999999</v>
      </c>
      <c r="C2030" s="55">
        <v>14.044</v>
      </c>
      <c r="D2030" s="55">
        <v>19.706</v>
      </c>
      <c r="E2030" s="55" t="s">
        <v>527</v>
      </c>
      <c r="F2030" s="55" t="s">
        <v>527</v>
      </c>
    </row>
    <row r="2031" spans="1:6">
      <c r="A2031" s="56"/>
    </row>
    <row r="2032" spans="1:6">
      <c r="A2032" s="57" t="s">
        <v>591</v>
      </c>
    </row>
    <row r="2033" spans="1:6">
      <c r="A2033" s="57" t="s">
        <v>529</v>
      </c>
    </row>
    <row r="2034" spans="1:6" ht="18">
      <c r="A2034" s="58">
        <v>465.637</v>
      </c>
    </row>
    <row r="2035" spans="1:6">
      <c r="A2035" s="57" t="s">
        <v>531</v>
      </c>
    </row>
    <row r="2036" spans="1:6">
      <c r="A2036" s="59">
        <v>289.613</v>
      </c>
    </row>
    <row r="2037" spans="1:6">
      <c r="A2037" s="57" t="s">
        <v>533</v>
      </c>
    </row>
    <row r="2038" spans="1:6">
      <c r="A2038" s="60">
        <v>22282</v>
      </c>
    </row>
    <row r="2039" spans="1:6">
      <c r="A2039" s="61"/>
    </row>
    <row r="2040" spans="1:6" ht="30">
      <c r="A2040" s="52" t="s">
        <v>521</v>
      </c>
      <c r="B2040" s="52" t="s">
        <v>522</v>
      </c>
      <c r="C2040" s="52" t="s">
        <v>523</v>
      </c>
      <c r="D2040" s="53" t="s">
        <v>524</v>
      </c>
      <c r="E2040" s="53" t="s">
        <v>525</v>
      </c>
      <c r="F2040" s="53" t="s">
        <v>526</v>
      </c>
    </row>
    <row r="2041" spans="1:6">
      <c r="A2041" s="54">
        <v>41275</v>
      </c>
      <c r="B2041" s="55">
        <v>17.652000000000001</v>
      </c>
      <c r="C2041" s="55">
        <v>12.29</v>
      </c>
      <c r="D2041" s="55">
        <v>16.91</v>
      </c>
      <c r="E2041" s="55" t="s">
        <v>527</v>
      </c>
      <c r="F2041" s="55" t="s">
        <v>527</v>
      </c>
    </row>
    <row r="2042" spans="1:6">
      <c r="A2042" s="54">
        <v>41276</v>
      </c>
      <c r="B2042" s="55">
        <v>17.295000000000002</v>
      </c>
      <c r="C2042" s="55">
        <v>12.214</v>
      </c>
      <c r="D2042" s="55">
        <v>16.594000000000001</v>
      </c>
      <c r="E2042" s="55" t="s">
        <v>527</v>
      </c>
      <c r="F2042" s="55" t="s">
        <v>527</v>
      </c>
    </row>
    <row r="2043" spans="1:6">
      <c r="A2043" s="54">
        <v>41277</v>
      </c>
      <c r="B2043" s="55">
        <v>16.536999999999999</v>
      </c>
      <c r="C2043" s="55">
        <v>11.714</v>
      </c>
      <c r="D2043" s="55">
        <v>15.863</v>
      </c>
      <c r="E2043" s="55" t="s">
        <v>527</v>
      </c>
      <c r="F2043" s="55" t="s">
        <v>527</v>
      </c>
    </row>
    <row r="2044" spans="1:6">
      <c r="A2044" s="54">
        <v>41278</v>
      </c>
      <c r="B2044" s="55">
        <v>23.927</v>
      </c>
      <c r="C2044" s="55">
        <v>17.253</v>
      </c>
      <c r="D2044" s="55">
        <v>23.207000000000001</v>
      </c>
      <c r="E2044" s="55" t="s">
        <v>527</v>
      </c>
      <c r="F2044" s="55" t="s">
        <v>527</v>
      </c>
    </row>
    <row r="2045" spans="1:6">
      <c r="A2045" s="54">
        <v>41279</v>
      </c>
      <c r="B2045" s="55">
        <v>25.233000000000001</v>
      </c>
      <c r="C2045" s="55">
        <v>17.988</v>
      </c>
      <c r="D2045" s="55">
        <v>24.468</v>
      </c>
      <c r="E2045" s="55" t="s">
        <v>527</v>
      </c>
      <c r="F2045" s="55" t="s">
        <v>527</v>
      </c>
    </row>
    <row r="2046" spans="1:6">
      <c r="A2046" s="54">
        <v>41280</v>
      </c>
      <c r="B2046" s="55">
        <v>19.513999999999999</v>
      </c>
      <c r="C2046" s="55">
        <v>13.896000000000001</v>
      </c>
      <c r="D2046" s="55">
        <v>18.885999999999999</v>
      </c>
      <c r="E2046" s="55" t="s">
        <v>527</v>
      </c>
      <c r="F2046" s="55" t="s">
        <v>527</v>
      </c>
    </row>
    <row r="2047" spans="1:6">
      <c r="A2047" s="54">
        <v>41281</v>
      </c>
      <c r="B2047" s="55">
        <v>15.79</v>
      </c>
      <c r="C2047" s="55">
        <v>11.426</v>
      </c>
      <c r="D2047" s="55">
        <v>15.273</v>
      </c>
      <c r="E2047" s="55" t="s">
        <v>527</v>
      </c>
      <c r="F2047" s="55" t="s">
        <v>527</v>
      </c>
    </row>
    <row r="2048" spans="1:6">
      <c r="A2048" s="54">
        <v>41282</v>
      </c>
      <c r="B2048" s="55">
        <v>14.305999999999999</v>
      </c>
      <c r="C2048" s="55">
        <v>10.288</v>
      </c>
      <c r="D2048" s="55">
        <v>13.791</v>
      </c>
      <c r="E2048" s="55" t="s">
        <v>527</v>
      </c>
      <c r="F2048" s="55" t="s">
        <v>527</v>
      </c>
    </row>
    <row r="2049" spans="1:6">
      <c r="A2049" s="54">
        <v>41283</v>
      </c>
      <c r="B2049" s="55">
        <v>12.404</v>
      </c>
      <c r="C2049" s="55">
        <v>8.8789999999999996</v>
      </c>
      <c r="D2049" s="55">
        <v>11.906000000000001</v>
      </c>
      <c r="E2049" s="55" t="s">
        <v>527</v>
      </c>
      <c r="F2049" s="55" t="s">
        <v>527</v>
      </c>
    </row>
    <row r="2050" spans="1:6">
      <c r="A2050" s="54">
        <v>41284</v>
      </c>
      <c r="B2050" s="55">
        <v>13.079000000000001</v>
      </c>
      <c r="C2050" s="55">
        <v>9.3420000000000005</v>
      </c>
      <c r="D2050" s="55">
        <v>12.616</v>
      </c>
      <c r="E2050" s="55" t="s">
        <v>527</v>
      </c>
      <c r="F2050" s="55" t="s">
        <v>527</v>
      </c>
    </row>
    <row r="2051" spans="1:6">
      <c r="A2051" s="54">
        <v>41285</v>
      </c>
      <c r="B2051" s="55">
        <v>17.317</v>
      </c>
      <c r="C2051" s="55">
        <v>12.555999999999999</v>
      </c>
      <c r="D2051" s="55">
        <v>16.661000000000001</v>
      </c>
      <c r="E2051" s="55" t="s">
        <v>527</v>
      </c>
      <c r="F2051" s="55" t="s">
        <v>527</v>
      </c>
    </row>
    <row r="2052" spans="1:6">
      <c r="A2052" s="54">
        <v>41286</v>
      </c>
      <c r="B2052" s="55">
        <v>20.477</v>
      </c>
      <c r="C2052" s="55">
        <v>14.509</v>
      </c>
      <c r="D2052" s="55">
        <v>19.721</v>
      </c>
      <c r="E2052" s="55" t="s">
        <v>527</v>
      </c>
      <c r="F2052" s="55" t="s">
        <v>527</v>
      </c>
    </row>
    <row r="2053" spans="1:6">
      <c r="A2053" s="54">
        <v>41287</v>
      </c>
      <c r="B2053" s="55">
        <v>18.021999999999998</v>
      </c>
      <c r="C2053" s="55">
        <v>12.94</v>
      </c>
      <c r="D2053" s="55">
        <v>17.370999999999999</v>
      </c>
      <c r="E2053" s="55" t="s">
        <v>527</v>
      </c>
      <c r="F2053" s="55" t="s">
        <v>527</v>
      </c>
    </row>
    <row r="2054" spans="1:6">
      <c r="A2054" s="54">
        <v>41288</v>
      </c>
      <c r="B2054" s="55">
        <v>13.433999999999999</v>
      </c>
      <c r="C2054" s="55">
        <v>9.9550000000000001</v>
      </c>
      <c r="D2054" s="55">
        <v>12.911</v>
      </c>
      <c r="E2054" s="55" t="s">
        <v>527</v>
      </c>
      <c r="F2054" s="55" t="s">
        <v>527</v>
      </c>
    </row>
    <row r="2055" spans="1:6">
      <c r="A2055" s="54">
        <v>41289</v>
      </c>
      <c r="B2055" s="55">
        <v>17.234000000000002</v>
      </c>
      <c r="C2055" s="55">
        <v>13.087999999999999</v>
      </c>
      <c r="D2055" s="55">
        <v>16.638999999999999</v>
      </c>
      <c r="E2055" s="55" t="s">
        <v>527</v>
      </c>
      <c r="F2055" s="55" t="s">
        <v>527</v>
      </c>
    </row>
    <row r="2056" spans="1:6">
      <c r="A2056" s="54">
        <v>41290</v>
      </c>
      <c r="B2056" s="55">
        <v>13.624000000000001</v>
      </c>
      <c r="C2056" s="55">
        <v>9.8800000000000008</v>
      </c>
      <c r="D2056" s="55">
        <v>13.021000000000001</v>
      </c>
      <c r="E2056" s="55" t="s">
        <v>527</v>
      </c>
      <c r="F2056" s="55" t="s">
        <v>527</v>
      </c>
    </row>
    <row r="2057" spans="1:6">
      <c r="A2057" s="54">
        <v>41291</v>
      </c>
      <c r="B2057" s="55">
        <v>13.516</v>
      </c>
      <c r="C2057" s="55">
        <v>9.6790000000000003</v>
      </c>
      <c r="D2057" s="55">
        <v>12.972</v>
      </c>
      <c r="E2057" s="55" t="s">
        <v>527</v>
      </c>
      <c r="F2057" s="55" t="s">
        <v>527</v>
      </c>
    </row>
    <row r="2058" spans="1:6">
      <c r="A2058" s="54">
        <v>41292</v>
      </c>
      <c r="B2058" s="55">
        <v>17.132999999999999</v>
      </c>
      <c r="C2058" s="55">
        <v>12.215999999999999</v>
      </c>
      <c r="D2058" s="55">
        <v>16.381</v>
      </c>
      <c r="E2058" s="55" t="s">
        <v>527</v>
      </c>
      <c r="F2058" s="55" t="s">
        <v>527</v>
      </c>
    </row>
    <row r="2059" spans="1:6">
      <c r="A2059" s="54">
        <v>41293</v>
      </c>
      <c r="B2059" s="55">
        <v>18.344999999999999</v>
      </c>
      <c r="C2059" s="55">
        <v>12.781000000000001</v>
      </c>
      <c r="D2059" s="55">
        <v>17.507000000000001</v>
      </c>
      <c r="E2059" s="55" t="s">
        <v>527</v>
      </c>
      <c r="F2059" s="55" t="s">
        <v>527</v>
      </c>
    </row>
    <row r="2060" spans="1:6">
      <c r="A2060" s="54">
        <v>41294</v>
      </c>
      <c r="B2060" s="55">
        <v>14.221</v>
      </c>
      <c r="C2060" s="55">
        <v>9.8729999999999993</v>
      </c>
      <c r="D2060" s="55">
        <v>13.468</v>
      </c>
      <c r="E2060" s="55" t="s">
        <v>527</v>
      </c>
      <c r="F2060" s="55" t="s">
        <v>527</v>
      </c>
    </row>
    <row r="2061" spans="1:6">
      <c r="A2061" s="54">
        <v>41295</v>
      </c>
      <c r="B2061" s="55">
        <v>14.036</v>
      </c>
      <c r="C2061" s="55">
        <v>10.210000000000001</v>
      </c>
      <c r="D2061" s="55">
        <v>13.347</v>
      </c>
      <c r="E2061" s="55" t="s">
        <v>527</v>
      </c>
      <c r="F2061" s="55" t="s">
        <v>527</v>
      </c>
    </row>
    <row r="2062" spans="1:6">
      <c r="A2062" s="54">
        <v>41296</v>
      </c>
      <c r="B2062" s="55">
        <v>13.026999999999999</v>
      </c>
      <c r="C2062" s="55">
        <v>9.6679999999999993</v>
      </c>
      <c r="D2062" s="55">
        <v>12.456</v>
      </c>
      <c r="E2062" s="55" t="s">
        <v>527</v>
      </c>
      <c r="F2062" s="55" t="s">
        <v>527</v>
      </c>
    </row>
    <row r="2063" spans="1:6">
      <c r="A2063" s="54">
        <v>41297</v>
      </c>
      <c r="B2063" s="55">
        <v>13.579000000000001</v>
      </c>
      <c r="C2063" s="55">
        <v>9.8230000000000004</v>
      </c>
      <c r="D2063" s="55">
        <v>12.962999999999999</v>
      </c>
      <c r="E2063" s="55" t="s">
        <v>527</v>
      </c>
      <c r="F2063" s="55" t="s">
        <v>527</v>
      </c>
    </row>
    <row r="2064" spans="1:6">
      <c r="A2064" s="54">
        <v>41298</v>
      </c>
      <c r="B2064" s="55">
        <v>13.194000000000001</v>
      </c>
      <c r="C2064" s="55">
        <v>9.6989999999999998</v>
      </c>
      <c r="D2064" s="55">
        <v>12.603</v>
      </c>
      <c r="E2064" s="55" t="s">
        <v>527</v>
      </c>
      <c r="F2064" s="55" t="s">
        <v>527</v>
      </c>
    </row>
    <row r="2065" spans="1:6">
      <c r="A2065" s="54">
        <v>41299</v>
      </c>
      <c r="B2065" s="55">
        <v>16.536000000000001</v>
      </c>
      <c r="C2065" s="55">
        <v>11.941000000000001</v>
      </c>
      <c r="D2065" s="55">
        <v>15.859</v>
      </c>
      <c r="E2065" s="55" t="s">
        <v>527</v>
      </c>
      <c r="F2065" s="55" t="s">
        <v>527</v>
      </c>
    </row>
    <row r="2066" spans="1:6">
      <c r="A2066" s="54">
        <v>41300</v>
      </c>
      <c r="B2066" s="55">
        <v>17.800999999999998</v>
      </c>
      <c r="C2066" s="55">
        <v>12.547000000000001</v>
      </c>
      <c r="D2066" s="55">
        <v>16.992999999999999</v>
      </c>
      <c r="E2066" s="55" t="s">
        <v>527</v>
      </c>
      <c r="F2066" s="55" t="s">
        <v>527</v>
      </c>
    </row>
    <row r="2067" spans="1:6">
      <c r="A2067" s="54">
        <v>41301</v>
      </c>
      <c r="B2067" s="55">
        <v>13.228</v>
      </c>
      <c r="C2067" s="55">
        <v>9.18</v>
      </c>
      <c r="D2067" s="55">
        <v>12.568</v>
      </c>
      <c r="E2067" s="55" t="s">
        <v>527</v>
      </c>
      <c r="F2067" s="55" t="s">
        <v>527</v>
      </c>
    </row>
    <row r="2068" spans="1:6">
      <c r="A2068" s="54">
        <v>41302</v>
      </c>
      <c r="B2068" s="55">
        <v>10.648999999999999</v>
      </c>
      <c r="C2068" s="55">
        <v>7.5419999999999998</v>
      </c>
      <c r="D2068" s="55">
        <v>10.14</v>
      </c>
      <c r="E2068" s="55" t="s">
        <v>527</v>
      </c>
      <c r="F2068" s="55" t="s">
        <v>527</v>
      </c>
    </row>
    <row r="2069" spans="1:6">
      <c r="A2069" s="54">
        <v>41303</v>
      </c>
      <c r="B2069" s="55">
        <v>10.936999999999999</v>
      </c>
      <c r="C2069" s="55">
        <v>7.8849999999999998</v>
      </c>
      <c r="D2069" s="55">
        <v>10.448</v>
      </c>
      <c r="E2069" s="55" t="s">
        <v>527</v>
      </c>
      <c r="F2069" s="55" t="s">
        <v>527</v>
      </c>
    </row>
    <row r="2070" spans="1:6">
      <c r="A2070" s="54">
        <v>41304</v>
      </c>
      <c r="B2070" s="55">
        <v>11.208</v>
      </c>
      <c r="C2070" s="55">
        <v>8.0649999999999995</v>
      </c>
      <c r="D2070" s="55">
        <v>10.683999999999999</v>
      </c>
      <c r="E2070" s="55" t="s">
        <v>527</v>
      </c>
      <c r="F2070" s="55" t="s">
        <v>527</v>
      </c>
    </row>
    <row r="2071" spans="1:6">
      <c r="A2071" s="54">
        <v>41305</v>
      </c>
      <c r="B2071" s="55">
        <v>11.894</v>
      </c>
      <c r="C2071" s="55">
        <v>8.5229999999999997</v>
      </c>
      <c r="D2071" s="55">
        <v>11.41</v>
      </c>
      <c r="E2071" s="55" t="s">
        <v>527</v>
      </c>
      <c r="F2071" s="55" t="s">
        <v>527</v>
      </c>
    </row>
    <row r="2072" spans="1:6">
      <c r="A2072" s="56"/>
    </row>
    <row r="2073" spans="1:6">
      <c r="A2073" s="57" t="s">
        <v>592</v>
      </c>
    </row>
    <row r="2074" spans="1:6">
      <c r="A2074" s="57" t="s">
        <v>529</v>
      </c>
    </row>
    <row r="2075" spans="1:6" ht="18">
      <c r="A2075" s="58">
        <v>215.43199999999999</v>
      </c>
    </row>
    <row r="2076" spans="1:6">
      <c r="A2076" s="57" t="s">
        <v>531</v>
      </c>
    </row>
    <row r="2077" spans="1:6">
      <c r="A2077" s="59">
        <v>134.12700000000001</v>
      </c>
    </row>
    <row r="2078" spans="1:6">
      <c r="A2078" s="57" t="s">
        <v>533</v>
      </c>
    </row>
    <row r="2079" spans="1:6">
      <c r="A2079" s="60">
        <v>22282</v>
      </c>
    </row>
    <row r="2080" spans="1:6">
      <c r="A2080" s="61"/>
    </row>
    <row r="2081" spans="1:6" ht="30">
      <c r="A2081" s="52" t="s">
        <v>521</v>
      </c>
      <c r="B2081" s="52" t="s">
        <v>522</v>
      </c>
      <c r="C2081" s="52" t="s">
        <v>523</v>
      </c>
      <c r="D2081" s="53" t="s">
        <v>524</v>
      </c>
      <c r="E2081" s="53" t="s">
        <v>525</v>
      </c>
      <c r="F2081" s="53" t="s">
        <v>526</v>
      </c>
    </row>
    <row r="2082" spans="1:6">
      <c r="A2082" s="54">
        <v>41306</v>
      </c>
      <c r="B2082" s="55">
        <v>16.148</v>
      </c>
      <c r="C2082" s="55">
        <v>11.725</v>
      </c>
      <c r="D2082" s="55">
        <v>15.454000000000001</v>
      </c>
      <c r="E2082" s="55" t="s">
        <v>527</v>
      </c>
      <c r="F2082" s="55" t="s">
        <v>527</v>
      </c>
    </row>
    <row r="2083" spans="1:6">
      <c r="A2083" s="54">
        <v>41307</v>
      </c>
      <c r="B2083" s="55">
        <v>16.937999999999999</v>
      </c>
      <c r="C2083" s="55">
        <v>11.991</v>
      </c>
      <c r="D2083" s="55">
        <v>16.149000000000001</v>
      </c>
      <c r="E2083" s="55" t="s">
        <v>527</v>
      </c>
      <c r="F2083" s="55" t="s">
        <v>527</v>
      </c>
    </row>
    <row r="2084" spans="1:6">
      <c r="A2084" s="54">
        <v>41308</v>
      </c>
      <c r="B2084" s="55">
        <v>13.163</v>
      </c>
      <c r="C2084" s="55">
        <v>9.2550000000000008</v>
      </c>
      <c r="D2084" s="55">
        <v>12.496</v>
      </c>
      <c r="E2084" s="55" t="s">
        <v>527</v>
      </c>
      <c r="F2084" s="55" t="s">
        <v>527</v>
      </c>
    </row>
    <row r="2085" spans="1:6">
      <c r="A2085" s="54">
        <v>41309</v>
      </c>
      <c r="B2085" s="55">
        <v>10.952</v>
      </c>
      <c r="C2085" s="55">
        <v>8.016</v>
      </c>
      <c r="D2085" s="55">
        <v>10.435</v>
      </c>
      <c r="E2085" s="55" t="s">
        <v>527</v>
      </c>
      <c r="F2085" s="55" t="s">
        <v>527</v>
      </c>
    </row>
    <row r="2086" spans="1:6">
      <c r="A2086" s="54">
        <v>41310</v>
      </c>
      <c r="B2086" s="55">
        <v>11.042999999999999</v>
      </c>
      <c r="C2086" s="55">
        <v>7.8449999999999998</v>
      </c>
      <c r="D2086" s="55">
        <v>10.478999999999999</v>
      </c>
      <c r="E2086" s="55" t="s">
        <v>527</v>
      </c>
      <c r="F2086" s="55" t="s">
        <v>527</v>
      </c>
    </row>
    <row r="2087" spans="1:6">
      <c r="A2087" s="54">
        <v>41311</v>
      </c>
      <c r="B2087" s="55">
        <v>12.061</v>
      </c>
      <c r="C2087" s="55">
        <v>8.6690000000000005</v>
      </c>
      <c r="D2087" s="55">
        <v>11.513</v>
      </c>
      <c r="E2087" s="55" t="s">
        <v>527</v>
      </c>
      <c r="F2087" s="55" t="s">
        <v>527</v>
      </c>
    </row>
    <row r="2088" spans="1:6">
      <c r="A2088" s="54">
        <v>41312</v>
      </c>
      <c r="B2088" s="55">
        <v>11.265000000000001</v>
      </c>
      <c r="C2088" s="55">
        <v>8.1259999999999994</v>
      </c>
      <c r="D2088" s="55">
        <v>10.728999999999999</v>
      </c>
      <c r="E2088" s="55" t="s">
        <v>527</v>
      </c>
      <c r="F2088" s="55" t="s">
        <v>527</v>
      </c>
    </row>
    <row r="2089" spans="1:6">
      <c r="A2089" s="54">
        <v>41313</v>
      </c>
      <c r="B2089" s="55">
        <v>13.874000000000001</v>
      </c>
      <c r="C2089" s="55">
        <v>9.9179999999999993</v>
      </c>
      <c r="D2089" s="55">
        <v>13.122999999999999</v>
      </c>
      <c r="E2089" s="55" t="s">
        <v>527</v>
      </c>
      <c r="F2089" s="55" t="s">
        <v>527</v>
      </c>
    </row>
    <row r="2090" spans="1:6">
      <c r="A2090" s="54">
        <v>41314</v>
      </c>
      <c r="B2090" s="55">
        <v>13.207000000000001</v>
      </c>
      <c r="C2090" s="55">
        <v>8.9809999999999999</v>
      </c>
      <c r="D2090" s="55">
        <v>12.446999999999999</v>
      </c>
      <c r="E2090" s="55" t="s">
        <v>527</v>
      </c>
      <c r="F2090" s="55" t="s">
        <v>527</v>
      </c>
    </row>
    <row r="2091" spans="1:6">
      <c r="A2091" s="54">
        <v>41315</v>
      </c>
      <c r="B2091" s="55">
        <v>10.170999999999999</v>
      </c>
      <c r="C2091" s="55">
        <v>6.8220000000000001</v>
      </c>
      <c r="D2091" s="55">
        <v>9.49</v>
      </c>
      <c r="E2091" s="55" t="s">
        <v>527</v>
      </c>
      <c r="F2091" s="55" t="s">
        <v>527</v>
      </c>
    </row>
    <row r="2092" spans="1:6">
      <c r="A2092" s="54">
        <v>41316</v>
      </c>
      <c r="B2092" s="55">
        <v>7.37</v>
      </c>
      <c r="C2092" s="55">
        <v>5.24</v>
      </c>
      <c r="D2092" s="55">
        <v>6.8940000000000001</v>
      </c>
      <c r="E2092" s="55" t="s">
        <v>527</v>
      </c>
      <c r="F2092" s="55" t="s">
        <v>527</v>
      </c>
    </row>
    <row r="2093" spans="1:6">
      <c r="A2093" s="54">
        <v>41317</v>
      </c>
      <c r="B2093" s="55">
        <v>8.2569999999999997</v>
      </c>
      <c r="C2093" s="55">
        <v>5.8029999999999999</v>
      </c>
      <c r="D2093" s="55">
        <v>7.7530000000000001</v>
      </c>
      <c r="E2093" s="55" t="s">
        <v>527</v>
      </c>
      <c r="F2093" s="55" t="s">
        <v>527</v>
      </c>
    </row>
    <row r="2094" spans="1:6">
      <c r="A2094" s="54">
        <v>41318</v>
      </c>
      <c r="B2094" s="55">
        <v>9.173</v>
      </c>
      <c r="C2094" s="55">
        <v>6.4539999999999997</v>
      </c>
      <c r="D2094" s="55">
        <v>8.7279999999999998</v>
      </c>
      <c r="E2094" s="55" t="s">
        <v>527</v>
      </c>
      <c r="F2094" s="55" t="s">
        <v>527</v>
      </c>
    </row>
    <row r="2095" spans="1:6">
      <c r="A2095" s="54">
        <v>41319</v>
      </c>
      <c r="B2095" s="55">
        <v>10.733000000000001</v>
      </c>
      <c r="C2095" s="55">
        <v>7.67</v>
      </c>
      <c r="D2095" s="55">
        <v>10.206</v>
      </c>
      <c r="E2095" s="55" t="s">
        <v>527</v>
      </c>
      <c r="F2095" s="55" t="s">
        <v>527</v>
      </c>
    </row>
    <row r="2096" spans="1:6">
      <c r="A2096" s="54">
        <v>41320</v>
      </c>
      <c r="B2096" s="55">
        <v>11.71</v>
      </c>
      <c r="C2096" s="55">
        <v>8.1379999999999999</v>
      </c>
      <c r="D2096" s="55">
        <v>11.093999999999999</v>
      </c>
      <c r="E2096" s="55" t="s">
        <v>527</v>
      </c>
      <c r="F2096" s="55" t="s">
        <v>527</v>
      </c>
    </row>
    <row r="2097" spans="1:6">
      <c r="A2097" s="54">
        <v>41321</v>
      </c>
      <c r="B2097" s="55">
        <v>11.743</v>
      </c>
      <c r="C2097" s="55">
        <v>7.7380000000000004</v>
      </c>
      <c r="D2097" s="55">
        <v>11.085000000000001</v>
      </c>
      <c r="E2097" s="55" t="s">
        <v>527</v>
      </c>
      <c r="F2097" s="55" t="s">
        <v>527</v>
      </c>
    </row>
    <row r="2098" spans="1:6">
      <c r="A2098" s="54">
        <v>41322</v>
      </c>
      <c r="B2098" s="55">
        <v>8.8149999999999995</v>
      </c>
      <c r="C2098" s="55">
        <v>5.8479999999999999</v>
      </c>
      <c r="D2098" s="55">
        <v>8.2309999999999999</v>
      </c>
      <c r="E2098" s="55" t="s">
        <v>527</v>
      </c>
      <c r="F2098" s="55" t="s">
        <v>527</v>
      </c>
    </row>
    <row r="2099" spans="1:6">
      <c r="A2099" s="54">
        <v>41323</v>
      </c>
      <c r="B2099" s="55">
        <v>7.9189999999999996</v>
      </c>
      <c r="C2099" s="55">
        <v>5.4859999999999998</v>
      </c>
      <c r="D2099" s="55">
        <v>7.3239999999999998</v>
      </c>
      <c r="E2099" s="55" t="s">
        <v>527</v>
      </c>
      <c r="F2099" s="55" t="s">
        <v>527</v>
      </c>
    </row>
    <row r="2100" spans="1:6">
      <c r="A2100" s="54">
        <v>41324</v>
      </c>
      <c r="B2100" s="55">
        <v>7.468</v>
      </c>
      <c r="C2100" s="55">
        <v>5.1040000000000001</v>
      </c>
      <c r="D2100" s="55">
        <v>6.93</v>
      </c>
      <c r="E2100" s="55" t="s">
        <v>527</v>
      </c>
      <c r="F2100" s="55" t="s">
        <v>527</v>
      </c>
    </row>
    <row r="2101" spans="1:6">
      <c r="A2101" s="54">
        <v>41325</v>
      </c>
      <c r="B2101" s="55">
        <v>7.6529999999999996</v>
      </c>
      <c r="C2101" s="55">
        <v>5.3280000000000003</v>
      </c>
      <c r="D2101" s="55">
        <v>7.1180000000000003</v>
      </c>
      <c r="E2101" s="55" t="s">
        <v>527</v>
      </c>
      <c r="F2101" s="55" t="s">
        <v>527</v>
      </c>
    </row>
    <row r="2102" spans="1:6">
      <c r="A2102" s="54">
        <v>41326</v>
      </c>
      <c r="B2102" s="55">
        <v>8.3049999999999997</v>
      </c>
      <c r="C2102" s="55">
        <v>5.7489999999999997</v>
      </c>
      <c r="D2102" s="55">
        <v>7.7539999999999996</v>
      </c>
      <c r="E2102" s="55" t="s">
        <v>527</v>
      </c>
      <c r="F2102" s="55" t="s">
        <v>527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594</v>
      </c>
      <c r="B1" s="57" t="s">
        <v>529</v>
      </c>
      <c r="C1" s="57" t="s">
        <v>531</v>
      </c>
    </row>
    <row r="2" spans="1:5" ht="18">
      <c r="A2" s="57" t="s">
        <v>593</v>
      </c>
      <c r="B2" s="58">
        <v>8.1660000000000004</v>
      </c>
      <c r="C2">
        <v>7.0819999999999999</v>
      </c>
    </row>
    <row r="3" spans="1:5" ht="18">
      <c r="A3" s="57" t="s">
        <v>528</v>
      </c>
      <c r="B3" s="58">
        <v>3258.5929999999998</v>
      </c>
      <c r="C3">
        <v>1761.57</v>
      </c>
    </row>
    <row r="4" spans="1:5" ht="18">
      <c r="A4" s="57" t="s">
        <v>534</v>
      </c>
      <c r="B4" s="58">
        <v>1646.1980000000001</v>
      </c>
      <c r="C4">
        <v>930.41399999999999</v>
      </c>
    </row>
    <row r="5" spans="1:5" ht="18">
      <c r="A5" s="57" t="s">
        <v>536</v>
      </c>
      <c r="B5" s="58">
        <v>1439.6310000000001</v>
      </c>
      <c r="C5">
        <v>840.62900000000002</v>
      </c>
    </row>
    <row r="6" spans="1:5" ht="18">
      <c r="A6" s="57" t="s">
        <v>538</v>
      </c>
      <c r="B6" s="58">
        <v>1081.3309999999999</v>
      </c>
      <c r="C6">
        <v>625.34</v>
      </c>
    </row>
    <row r="7" spans="1:5" ht="18">
      <c r="A7" s="57" t="s">
        <v>540</v>
      </c>
      <c r="B7" s="58">
        <v>893.60900000000004</v>
      </c>
      <c r="C7">
        <v>481.93799999999999</v>
      </c>
    </row>
    <row r="8" spans="1:5" ht="18">
      <c r="A8" s="57" t="s">
        <v>541</v>
      </c>
      <c r="B8" s="58">
        <v>808.85900000000004</v>
      </c>
      <c r="C8">
        <v>410.72899999999998</v>
      </c>
    </row>
    <row r="9" spans="1:5" ht="18">
      <c r="A9" s="57" t="s">
        <v>542</v>
      </c>
      <c r="B9" s="58">
        <v>823.76</v>
      </c>
      <c r="C9">
        <v>426.69499999999999</v>
      </c>
    </row>
    <row r="10" spans="1:5" ht="18">
      <c r="A10" s="57" t="s">
        <v>543</v>
      </c>
      <c r="B10" s="58">
        <v>890.20600000000002</v>
      </c>
      <c r="C10">
        <v>470.33499999999998</v>
      </c>
    </row>
    <row r="11" spans="1:5" ht="18">
      <c r="A11" s="57" t="s">
        <v>544</v>
      </c>
      <c r="B11" s="58">
        <v>1172.4870000000001</v>
      </c>
      <c r="C11">
        <v>624.86900000000003</v>
      </c>
    </row>
    <row r="12" spans="1:5" ht="18">
      <c r="A12" s="57" t="s">
        <v>546</v>
      </c>
      <c r="B12" s="58">
        <v>1101.0440000000001</v>
      </c>
      <c r="C12">
        <v>590.57600000000002</v>
      </c>
    </row>
    <row r="13" spans="1:5" ht="18">
      <c r="A13" s="57" t="s">
        <v>548</v>
      </c>
      <c r="B13" s="58">
        <v>850.33399999999995</v>
      </c>
      <c r="C13">
        <v>477.28300000000002</v>
      </c>
    </row>
    <row r="14" spans="1:5" ht="18">
      <c r="A14" s="57" t="s">
        <v>549</v>
      </c>
      <c r="B14" s="58">
        <v>883.52800000000002</v>
      </c>
      <c r="C14">
        <v>474.08300000000003</v>
      </c>
      <c r="D14" s="58">
        <f>SUM(B3:B14)</f>
        <v>14849.580000000004</v>
      </c>
      <c r="E14">
        <f>SUM(C3:C14)</f>
        <v>8114.4609999999993</v>
      </c>
    </row>
    <row r="15" spans="1:5" ht="18">
      <c r="A15" s="57" t="s">
        <v>550</v>
      </c>
      <c r="B15" s="58">
        <v>904.19200000000001</v>
      </c>
      <c r="C15">
        <v>520.97199999999998</v>
      </c>
      <c r="D15" s="58"/>
    </row>
    <row r="16" spans="1:5" ht="18">
      <c r="A16" s="57" t="s">
        <v>551</v>
      </c>
      <c r="B16" s="58">
        <v>870.03399999999999</v>
      </c>
      <c r="C16">
        <v>435.91199999999998</v>
      </c>
    </row>
    <row r="17" spans="1:5" ht="18">
      <c r="A17" s="57" t="s">
        <v>553</v>
      </c>
      <c r="B17" s="58">
        <v>829.21400000000006</v>
      </c>
      <c r="C17">
        <v>438.517</v>
      </c>
    </row>
    <row r="18" spans="1:5" ht="18">
      <c r="A18" s="57" t="s">
        <v>554</v>
      </c>
      <c r="B18" s="58">
        <v>730.46299999999997</v>
      </c>
      <c r="C18">
        <v>398.93599999999998</v>
      </c>
    </row>
    <row r="19" spans="1:5" ht="18">
      <c r="A19" s="57" t="s">
        <v>555</v>
      </c>
      <c r="B19" s="58">
        <v>731.28</v>
      </c>
      <c r="C19">
        <v>390.46</v>
      </c>
    </row>
    <row r="20" spans="1:5" ht="18">
      <c r="A20" s="57" t="s">
        <v>556</v>
      </c>
      <c r="B20" s="58">
        <v>721.86599999999999</v>
      </c>
      <c r="C20">
        <v>380.61099999999999</v>
      </c>
    </row>
    <row r="21" spans="1:5" ht="18">
      <c r="A21" s="57" t="s">
        <v>557</v>
      </c>
      <c r="B21" s="58">
        <v>704.86800000000005</v>
      </c>
      <c r="C21">
        <v>387.95400000000001</v>
      </c>
    </row>
    <row r="22" spans="1:5" ht="18">
      <c r="A22" s="57" t="s">
        <v>558</v>
      </c>
      <c r="B22" s="58">
        <v>706.63400000000001</v>
      </c>
      <c r="C22">
        <v>397.791</v>
      </c>
    </row>
    <row r="23" spans="1:5" ht="18">
      <c r="A23" s="57" t="s">
        <v>559</v>
      </c>
      <c r="B23" s="58">
        <v>1040.2170000000001</v>
      </c>
      <c r="C23">
        <v>542.30600000000004</v>
      </c>
    </row>
    <row r="24" spans="1:5" ht="18">
      <c r="A24" s="57" t="s">
        <v>561</v>
      </c>
      <c r="B24" s="58">
        <v>1073.627</v>
      </c>
      <c r="C24">
        <v>556.20699999999999</v>
      </c>
    </row>
    <row r="25" spans="1:5" ht="18">
      <c r="A25" s="57" t="s">
        <v>563</v>
      </c>
      <c r="B25" s="58">
        <v>853.673</v>
      </c>
      <c r="C25">
        <v>457.90300000000002</v>
      </c>
    </row>
    <row r="26" spans="1:5" ht="18">
      <c r="A26" s="57" t="s">
        <v>564</v>
      </c>
      <c r="B26" s="58">
        <v>787.46699999999998</v>
      </c>
      <c r="C26">
        <v>397.8</v>
      </c>
      <c r="D26" s="58">
        <f>SUM(B15:B26)</f>
        <v>9953.5350000000017</v>
      </c>
      <c r="E26">
        <f>SUM(C15:C26)</f>
        <v>5305.3690000000006</v>
      </c>
    </row>
    <row r="27" spans="1:5" ht="18">
      <c r="A27" s="57" t="s">
        <v>565</v>
      </c>
      <c r="B27" s="58">
        <v>751.53200000000004</v>
      </c>
      <c r="C27">
        <v>386.14400000000001</v>
      </c>
    </row>
    <row r="28" spans="1:5" ht="18">
      <c r="A28" s="57" t="s">
        <v>566</v>
      </c>
      <c r="B28" s="58">
        <v>770.06500000000005</v>
      </c>
      <c r="C28">
        <v>396.012</v>
      </c>
    </row>
    <row r="29" spans="1:5" ht="18">
      <c r="A29" s="57" t="s">
        <v>567</v>
      </c>
      <c r="B29" s="58">
        <v>680.93299999999999</v>
      </c>
      <c r="C29">
        <v>354.267</v>
      </c>
    </row>
    <row r="30" spans="1:5" ht="18">
      <c r="A30" s="57" t="s">
        <v>568</v>
      </c>
      <c r="B30" s="58">
        <v>680.40200000000004</v>
      </c>
      <c r="C30">
        <v>368.78300000000002</v>
      </c>
    </row>
    <row r="31" spans="1:5" ht="18">
      <c r="A31" s="57" t="s">
        <v>569</v>
      </c>
      <c r="B31" s="58">
        <v>499.14400000000001</v>
      </c>
      <c r="C31">
        <v>267.79599999999999</v>
      </c>
    </row>
    <row r="32" spans="1:5" ht="18">
      <c r="A32" s="57" t="s">
        <v>570</v>
      </c>
      <c r="B32" s="58">
        <v>463.42399999999998</v>
      </c>
      <c r="C32">
        <v>247.173</v>
      </c>
    </row>
    <row r="33" spans="1:3" ht="18">
      <c r="A33" s="57" t="s">
        <v>571</v>
      </c>
      <c r="B33" s="58">
        <v>528.64200000000005</v>
      </c>
      <c r="C33">
        <v>287.75</v>
      </c>
    </row>
    <row r="34" spans="1:3" ht="18">
      <c r="A34" s="57" t="s">
        <v>572</v>
      </c>
      <c r="B34" s="58">
        <v>407.40800000000002</v>
      </c>
      <c r="C34">
        <v>219.61799999999999</v>
      </c>
    </row>
    <row r="35" spans="1:3" ht="18">
      <c r="A35" s="57" t="s">
        <v>573</v>
      </c>
      <c r="B35" s="58">
        <v>434.82799999999997</v>
      </c>
      <c r="C35">
        <v>236.298</v>
      </c>
    </row>
    <row r="36" spans="1:3" ht="18">
      <c r="A36" s="57" t="s">
        <v>574</v>
      </c>
      <c r="B36" s="58">
        <v>570.16099999999994</v>
      </c>
      <c r="C36">
        <v>324.01400000000001</v>
      </c>
    </row>
    <row r="37" spans="1:3" ht="18">
      <c r="A37" s="57" t="s">
        <v>575</v>
      </c>
      <c r="B37" s="58">
        <v>550.27499999999998</v>
      </c>
      <c r="C37">
        <v>309.03699999999998</v>
      </c>
    </row>
    <row r="38" spans="1:3" ht="18">
      <c r="A38" s="57" t="s">
        <v>576</v>
      </c>
      <c r="B38" s="58">
        <v>399.935</v>
      </c>
      <c r="C38">
        <v>218.334</v>
      </c>
    </row>
    <row r="39" spans="1:3" ht="18">
      <c r="A39" s="57" t="s">
        <v>577</v>
      </c>
      <c r="B39" s="58">
        <v>348.61099999999999</v>
      </c>
      <c r="C39">
        <v>194.36</v>
      </c>
    </row>
    <row r="40" spans="1:3" ht="18">
      <c r="A40" s="57" t="s">
        <v>578</v>
      </c>
      <c r="B40" s="58">
        <v>365.88499999999999</v>
      </c>
      <c r="C40">
        <v>198.339</v>
      </c>
    </row>
    <row r="41" spans="1:3" ht="18">
      <c r="A41" s="57" t="s">
        <v>579</v>
      </c>
      <c r="B41" s="58">
        <v>303.41000000000003</v>
      </c>
      <c r="C41">
        <v>162.63499999999999</v>
      </c>
    </row>
    <row r="42" spans="1:3" ht="18">
      <c r="A42" s="57" t="s">
        <v>580</v>
      </c>
      <c r="B42" s="58">
        <v>273.06400000000002</v>
      </c>
      <c r="C42">
        <v>150.10300000000001</v>
      </c>
    </row>
    <row r="43" spans="1:3" ht="18">
      <c r="A43" s="57" t="s">
        <v>581</v>
      </c>
      <c r="B43" s="58">
        <v>333.11900000000003</v>
      </c>
      <c r="C43">
        <v>181.65</v>
      </c>
    </row>
    <row r="44" spans="1:3" ht="18">
      <c r="A44" s="57" t="s">
        <v>582</v>
      </c>
      <c r="B44" s="58">
        <v>327.11900000000003</v>
      </c>
      <c r="C44">
        <v>179.68799999999999</v>
      </c>
    </row>
    <row r="45" spans="1:3" ht="18">
      <c r="A45" s="57" t="s">
        <v>583</v>
      </c>
      <c r="B45" s="58">
        <v>318.66399999999999</v>
      </c>
      <c r="C45">
        <v>173.554</v>
      </c>
    </row>
    <row r="46" spans="1:3" ht="18">
      <c r="A46" s="57" t="s">
        <v>584</v>
      </c>
      <c r="B46" s="58">
        <v>303.60700000000003</v>
      </c>
      <c r="C46">
        <v>164.779</v>
      </c>
    </row>
    <row r="47" spans="1:3" ht="18">
      <c r="A47" s="57" t="s">
        <v>585</v>
      </c>
      <c r="B47" s="58">
        <v>306.86799999999999</v>
      </c>
      <c r="C47">
        <v>167.767</v>
      </c>
    </row>
    <row r="48" spans="1:3" ht="18">
      <c r="A48" s="57" t="s">
        <v>586</v>
      </c>
      <c r="B48" s="58">
        <v>275.94200000000001</v>
      </c>
      <c r="C48">
        <v>155.142</v>
      </c>
    </row>
    <row r="49" spans="1:3" ht="18">
      <c r="A49" s="57" t="s">
        <v>587</v>
      </c>
      <c r="B49" s="58">
        <v>214.90600000000001</v>
      </c>
      <c r="C49">
        <v>145.399</v>
      </c>
    </row>
    <row r="50" spans="1:3" ht="18">
      <c r="A50" s="57" t="s">
        <v>588</v>
      </c>
      <c r="B50" s="58">
        <v>235.16900000000001</v>
      </c>
      <c r="C50">
        <v>136.054</v>
      </c>
    </row>
    <row r="51" spans="1:3" ht="18">
      <c r="A51" s="57" t="s">
        <v>589</v>
      </c>
      <c r="B51" s="58">
        <v>236.24799999999999</v>
      </c>
      <c r="C51">
        <v>129.81100000000001</v>
      </c>
    </row>
    <row r="52" spans="1:3" ht="18">
      <c r="A52" s="57" t="s">
        <v>590</v>
      </c>
      <c r="B52" s="58">
        <v>340.017</v>
      </c>
      <c r="C52">
        <v>196.489</v>
      </c>
    </row>
    <row r="53" spans="1:3" ht="18">
      <c r="A53" s="57" t="s">
        <v>591</v>
      </c>
      <c r="B53" s="58">
        <v>465.637</v>
      </c>
      <c r="C53">
        <v>289.613</v>
      </c>
    </row>
    <row r="54" spans="1:3" ht="18">
      <c r="A54" s="57" t="s">
        <v>592</v>
      </c>
      <c r="B54" s="58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601</v>
      </c>
      <c r="B1" t="s">
        <v>602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2">
        <v>130251</v>
      </c>
    </row>
    <row r="7" spans="1:2">
      <c r="A7" s="62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832</v>
      </c>
      <c r="B1" t="s">
        <v>154</v>
      </c>
      <c r="C1" t="s">
        <v>833</v>
      </c>
      <c r="D1" t="s">
        <v>843</v>
      </c>
    </row>
    <row r="2" spans="1:4">
      <c r="A2" t="s">
        <v>834</v>
      </c>
      <c r="B2">
        <v>2</v>
      </c>
      <c r="C2">
        <v>1</v>
      </c>
      <c r="D2">
        <f>B2*C2</f>
        <v>2</v>
      </c>
    </row>
    <row r="3" spans="1:4">
      <c r="A3" t="s">
        <v>835</v>
      </c>
      <c r="B3">
        <v>1</v>
      </c>
      <c r="C3">
        <v>5</v>
      </c>
      <c r="D3">
        <f t="shared" ref="D3:D12" si="0">B3*C3</f>
        <v>5</v>
      </c>
    </row>
    <row r="4" spans="1:4">
      <c r="A4" t="s">
        <v>836</v>
      </c>
      <c r="B4">
        <v>0.5</v>
      </c>
      <c r="C4">
        <v>4</v>
      </c>
      <c r="D4">
        <f t="shared" si="0"/>
        <v>2</v>
      </c>
    </row>
    <row r="5" spans="1:4">
      <c r="A5" t="s">
        <v>838</v>
      </c>
      <c r="B5">
        <v>0.5</v>
      </c>
      <c r="C5">
        <v>6</v>
      </c>
      <c r="D5">
        <f t="shared" si="0"/>
        <v>3</v>
      </c>
    </row>
    <row r="6" spans="1:4">
      <c r="A6" t="s">
        <v>837</v>
      </c>
      <c r="B6">
        <v>0</v>
      </c>
      <c r="D6">
        <f t="shared" si="0"/>
        <v>0</v>
      </c>
    </row>
    <row r="7" spans="1:4">
      <c r="A7" t="s">
        <v>839</v>
      </c>
      <c r="B7">
        <v>0</v>
      </c>
      <c r="D7">
        <f t="shared" si="0"/>
        <v>0</v>
      </c>
    </row>
    <row r="8" spans="1:4">
      <c r="A8" t="s">
        <v>832</v>
      </c>
      <c r="B8">
        <v>0.2</v>
      </c>
      <c r="C8">
        <v>10</v>
      </c>
      <c r="D8">
        <f t="shared" si="0"/>
        <v>2</v>
      </c>
    </row>
    <row r="9" spans="1:4">
      <c r="A9" t="s">
        <v>844</v>
      </c>
      <c r="B9">
        <v>0</v>
      </c>
      <c r="C9">
        <v>4</v>
      </c>
      <c r="D9">
        <f t="shared" si="0"/>
        <v>0</v>
      </c>
    </row>
    <row r="10" spans="1:4">
      <c r="A10" t="s">
        <v>840</v>
      </c>
      <c r="B10">
        <v>1</v>
      </c>
      <c r="C10">
        <v>3</v>
      </c>
      <c r="D10">
        <f t="shared" si="0"/>
        <v>3</v>
      </c>
    </row>
    <row r="11" spans="1:4">
      <c r="A11" t="s">
        <v>842</v>
      </c>
      <c r="B11">
        <v>1</v>
      </c>
      <c r="C11">
        <v>0</v>
      </c>
      <c r="D11">
        <f t="shared" si="0"/>
        <v>0</v>
      </c>
    </row>
    <row r="12" spans="1:4">
      <c r="A12" t="s">
        <v>841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weaponParam</vt:lpstr>
      <vt:lpstr>itemParam</vt:lpstr>
      <vt:lpstr>statParam</vt:lpstr>
      <vt:lpstr>characterParam</vt:lpstr>
      <vt:lpstr>_armor</vt:lpstr>
      <vt:lpstr>_weapons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2019-08-13T20:43:24Z</dcterms:modified>
</cp:coreProperties>
</file>